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G:\Data Analytics\Excel\"/>
    </mc:Choice>
  </mc:AlternateContent>
  <xr:revisionPtr revIDLastSave="0" documentId="13_ncr:1_{A68605E0-5146-4090-82A0-23317E4D18E2}" xr6:coauthVersionLast="47" xr6:coauthVersionMax="47" xr10:uidLastSave="{00000000-0000-0000-0000-000000000000}"/>
  <bookViews>
    <workbookView xWindow="-108" yWindow="-108" windowWidth="23256" windowHeight="12456" activeTab="1" xr2:uid="{F8420BDF-C08E-4FBB-891B-F574F63AC6D0}"/>
  </bookViews>
  <sheets>
    <sheet name="BlinkIT Grocery Data" sheetId="1" r:id="rId1"/>
    <sheet name="Pivot Tables" sheetId="2" r:id="rId2"/>
    <sheet name="Dashboard" sheetId="3" r:id="rId3"/>
  </sheets>
  <definedNames>
    <definedName name="_xlchart.v2.0" hidden="1">'Pivot Tables'!$Y$18:$Y$20</definedName>
    <definedName name="_xlchart.v2.1" hidden="1">'Pivot Tables'!$Z$18:$Z$20</definedName>
    <definedName name="_xlchart.v2.10" hidden="1">'Pivot Tables'!$N$23:$N$38</definedName>
    <definedName name="_xlchart.v2.2" hidden="1">'Pivot Tables'!$M$23:$M$38</definedName>
    <definedName name="_xlchart.v2.3" hidden="1">'Pivot Tables'!$N$22</definedName>
    <definedName name="_xlchart.v2.4" hidden="1">'Pivot Tables'!$N$23:$N$38</definedName>
    <definedName name="_xlchart.v2.5" hidden="1">'Pivot Tables'!$M$23:$M$38</definedName>
    <definedName name="_xlchart.v2.6" hidden="1">'Pivot Tables'!$N$22</definedName>
    <definedName name="_xlchart.v2.7" hidden="1">'Pivot Tables'!$N$23:$N$38</definedName>
    <definedName name="_xlchart.v2.8" hidden="1">'Pivot Tables'!$M$23:$M$38</definedName>
    <definedName name="_xlchart.v2.9" hidden="1">'Pivot Tables'!$N$22</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19" i="2" l="1"/>
  <c r="Y20" i="2"/>
  <c r="Y18" i="2"/>
  <c r="M24" i="2"/>
  <c r="M25" i="2"/>
  <c r="M26" i="2"/>
  <c r="M27" i="2"/>
  <c r="M28" i="2"/>
  <c r="M29" i="2"/>
  <c r="M30" i="2"/>
  <c r="M31" i="2"/>
  <c r="M32" i="2"/>
  <c r="M33" i="2"/>
  <c r="M34" i="2"/>
  <c r="M35" i="2"/>
  <c r="M36" i="2"/>
  <c r="M37" i="2"/>
  <c r="M38" i="2"/>
  <c r="M23" i="2"/>
  <c r="Z20" i="2"/>
  <c r="E5" i="2"/>
  <c r="C5" i="2"/>
  <c r="A5" i="2"/>
  <c r="G5" i="2"/>
  <c r="Z18" i="2"/>
  <c r="Z19" i="2"/>
  <c r="N30" i="2"/>
  <c r="N33" i="2"/>
  <c r="N26" i="2"/>
  <c r="N34" i="2"/>
  <c r="N27" i="2"/>
  <c r="N32" i="2"/>
  <c r="N36" i="2"/>
  <c r="N24" i="2"/>
  <c r="N35" i="2"/>
  <c r="N38" i="2"/>
  <c r="N25" i="2"/>
  <c r="N29" i="2"/>
  <c r="N23" i="2"/>
  <c r="N37" i="2"/>
  <c r="N31" i="2"/>
  <c r="N28" i="2"/>
</calcChain>
</file>

<file path=xl/sharedStrings.xml><?xml version="1.0" encoding="utf-8"?>
<sst xmlns="http://schemas.openxmlformats.org/spreadsheetml/2006/main" count="59762" uniqueCount="1631">
  <si>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</si>
  <si>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</si>
  <si>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</si>
  <si>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</si>
  <si>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</si>
  <si>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</si>
  <si>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</si>
  <si>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</si>
  <si>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</si>
  <si>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</si>
  <si>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</si>
  <si>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</si>
  <si>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</si>
  <si>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</si>
  <si>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</si>
  <si>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</si>
  <si>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</si>
  <si>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</si>
  <si>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</si>
  <si>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</si>
  <si>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</si>
  <si>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</si>
  <si>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</si>
  <si>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</si>
  <si>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</si>
  <si>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</si>
  <si>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</si>
  <si>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</si>
  <si>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</si>
  <si>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</si>
  <si>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</si>
  <si>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</si>
  <si>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</si>
  <si>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</si>
  <si>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</si>
  <si>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</si>
  <si>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</si>
  <si>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</si>
  <si>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</si>
  <si>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</si>
  <si>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</si>
  <si>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</si>
  <si>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</si>
  <si>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</si>
  <si>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</si>
  <si>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</si>
  <si>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</si>
  <si>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</si>
  <si>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</si>
  <si>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</si>
  <si>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</si>
  <si>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</si>
  <si>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</si>
  <si>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</si>
  <si>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</si>
  <si>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</si>
  <si>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</si>
  <si>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</si>
  <si>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</si>
  <si>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</si>
  <si>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</si>
  <si>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</si>
  <si>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</si>
  <si>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</si>
  <si>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</si>
  <si>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</si>
  <si>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</si>
  <si>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</si>
  <si>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</si>
  <si>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</si>
  <si>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</si>
  <si>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</si>
  <si>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</si>
  <si>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</si>
  <si>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</si>
  <si>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</si>
  <si>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</si>
  <si>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</si>
  <si>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</si>
  <si>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</si>
  <si>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</si>
  <si>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</si>
  <si>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</si>
  <si>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</si>
  <si>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</si>
  <si>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</si>
  <si>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</si>
  <si>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</si>
  <si>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</si>
  <si>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</si>
  <si>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</si>
  <si>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</si>
  <si>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</si>
  <si>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</si>
  <si>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</si>
  <si>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</si>
  <si>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</si>
  <si>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</si>
  <si>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</si>
  <si>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</si>
  <si>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</si>
  <si>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</si>
  <si>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</si>
  <si>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</si>
  <si>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</si>
  <si>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</si>
  <si>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</si>
  <si>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</si>
  <si>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</si>
  <si>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</si>
  <si>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</si>
  <si>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</si>
  <si>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</si>
  <si>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</si>
  <si>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</si>
  <si>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</si>
  <si>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</si>
  <si>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</si>
  <si>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</si>
  <si>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</si>
  <si>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</si>
  <si>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</si>
  <si>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</si>
  <si>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</si>
  <si>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</si>
  <si>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</si>
  <si>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</si>
  <si>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</si>
  <si>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</si>
  <si>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</si>
  <si>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</si>
  <si>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</si>
  <si>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</si>
  <si>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</si>
  <si>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</si>
  <si>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</si>
  <si>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</si>
  <si>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</si>
  <si>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</si>
  <si>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</si>
  <si>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</si>
  <si>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</si>
  <si>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</si>
  <si>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</si>
  <si>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</si>
  <si>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</si>
  <si>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</si>
  <si>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</si>
  <si>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</si>
  <si>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</si>
  <si>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</si>
  <si>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</si>
  <si>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</si>
  <si>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</si>
  <si>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</si>
  <si>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</si>
  <si>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</si>
  <si>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</si>
  <si>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</si>
  <si>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</si>
  <si>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</si>
  <si>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</si>
  <si>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</si>
  <si>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</si>
  <si>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</si>
  <si>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</si>
  <si>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</si>
  <si>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</si>
  <si>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</si>
  <si>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</si>
  <si>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</si>
  <si>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</si>
  <si>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</si>
  <si>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</si>
  <si>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</si>
  <si>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</si>
  <si>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</si>
  <si>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</si>
  <si>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</si>
  <si>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</si>
  <si>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</si>
  <si>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</si>
  <si>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</si>
  <si>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</si>
  <si>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</si>
  <si>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</si>
  <si>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</si>
  <si>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</si>
  <si>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</si>
  <si>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</si>
  <si>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</si>
  <si>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</si>
  <si>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</si>
  <si>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</si>
  <si>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</si>
  <si>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</si>
  <si>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</si>
  <si>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</si>
  <si>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</si>
  <si>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</si>
  <si>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</si>
  <si>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</si>
  <si>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</si>
  <si>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</si>
  <si>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</si>
  <si>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</si>
  <si>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</si>
  <si>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</si>
  <si>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</si>
  <si>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</si>
  <si>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</si>
  <si>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</si>
  <si>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</si>
  <si>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</si>
  <si>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</si>
  <si>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</si>
  <si>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</si>
  <si>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</si>
  <si>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</si>
  <si>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</si>
  <si>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</si>
  <si>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</si>
  <si>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</si>
  <si>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</si>
  <si>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</si>
  <si>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</si>
  <si>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</si>
  <si>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</si>
  <si>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</si>
  <si>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</si>
  <si>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</si>
  <si>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</si>
  <si>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</si>
  <si>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</si>
  <si>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</si>
  <si>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</si>
  <si>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</si>
  <si>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</si>
  <si>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</si>
  <si>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</si>
  <si>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</si>
  <si>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</si>
  <si>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</si>
  <si>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</si>
  <si>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</si>
  <si>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</si>
  <si>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</si>
  <si>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</si>
  <si>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</si>
  <si>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</si>
  <si>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</si>
  <si>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</si>
  <si>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</si>
  <si>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</si>
  <si>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</si>
  <si>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</si>
  <si>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</si>
  <si>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</si>
  <si>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</si>
  <si>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</si>
  <si>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</si>
  <si>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</si>
  <si>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</si>
  <si>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</si>
  <si>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</si>
  <si>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</si>
  <si>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</si>
  <si>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</si>
  <si>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</si>
  <si>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</si>
  <si>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</si>
  <si>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</si>
  <si>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</si>
  <si>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</si>
  <si>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</si>
  <si>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</si>
  <si>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</si>
  <si>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</si>
  <si>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</si>
  <si>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</si>
  <si>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</si>
  <si>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</si>
  <si>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</si>
  <si>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</si>
  <si>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</si>
  <si>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</si>
  <si>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</si>
  <si>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</si>
  <si>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</si>
  <si>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</si>
  <si>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</si>
  <si>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</si>
  <si>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</si>
  <si>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</si>
  <si>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</si>
  <si>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</si>
  <si>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</si>
  <si>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</si>
  <si>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</si>
  <si>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</si>
  <si>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</si>
  <si>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</si>
  <si>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</si>
  <si>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</si>
  <si>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</si>
  <si>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</si>
  <si>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</si>
  <si>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</si>
  <si>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</si>
  <si>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</si>
  <si>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</si>
  <si>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</si>
  <si>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</si>
  <si>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</si>
  <si>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</si>
  <si>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</si>
  <si>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</si>
  <si>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</si>
  <si>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</si>
  <si>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</si>
  <si>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</si>
  <si>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</si>
  <si>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</si>
  <si>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</si>
  <si>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</si>
  <si>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</si>
  <si>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</si>
  <si>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</si>
  <si>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</si>
  <si>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</si>
  <si>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</si>
  <si>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</si>
  <si>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</si>
  <si>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</si>
  <si>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</si>
  <si>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</si>
  <si>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</si>
  <si>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</si>
  <si>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</si>
  <si>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</si>
  <si>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</si>
  <si>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</si>
  <si>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</si>
  <si>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</si>
  <si>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</si>
  <si>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</si>
  <si>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</si>
  <si>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</si>
  <si>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</si>
  <si>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</si>
  <si>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</si>
  <si>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</si>
  <si>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</si>
  <si>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</si>
  <si>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</si>
  <si>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</si>
  <si>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</si>
  <si>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</si>
  <si>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</si>
  <si>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</si>
  <si>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</si>
  <si>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</si>
  <si>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</si>
  <si>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</si>
  <si>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</si>
  <si>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</si>
  <si>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</si>
  <si>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</si>
  <si>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</si>
  <si>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</si>
  <si>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</si>
  <si>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</si>
  <si>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</si>
  <si>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</si>
  <si>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</si>
  <si>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</si>
  <si>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</si>
  <si>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</si>
  <si>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</si>
  <si>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</si>
  <si>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</si>
  <si>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</si>
  <si>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</si>
  <si>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</si>
  <si>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</si>
  <si>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</si>
  <si>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</si>
  <si>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</si>
  <si>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</si>
  <si>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</si>
  <si>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</si>
  <si>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</si>
  <si>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</si>
  <si>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</si>
  <si>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</si>
  <si>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</si>
  <si>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</si>
  <si>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</si>
  <si>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</si>
  <si>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</si>
  <si>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</si>
  <si>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</si>
  <si>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</si>
  <si>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</si>
  <si>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</si>
  <si>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</si>
  <si>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</si>
  <si>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</si>
  <si>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</si>
  <si>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</si>
  <si>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</si>
  <si>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</si>
  <si>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</si>
  <si>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</si>
  <si>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</si>
  <si>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</si>
  <si>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</si>
  <si>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</si>
  <si>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</si>
  <si>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</si>
  <si>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</si>
  <si>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</si>
  <si>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</si>
  <si>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</si>
  <si>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</si>
  <si>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</si>
  <si>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</si>
  <si>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</si>
  <si>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</si>
  <si>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</si>
  <si>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</si>
  <si>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</si>
  <si>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</si>
  <si>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</si>
  <si>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</si>
  <si>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</si>
  <si>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</si>
  <si>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</si>
  <si>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</si>
  <si>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</si>
  <si>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</si>
  <si>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</si>
  <si>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</si>
  <si>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</si>
  <si>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</si>
  <si>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</si>
  <si>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</si>
  <si>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</si>
  <si>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</si>
  <si>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</si>
  <si>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</si>
  <si>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</si>
  <si>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</si>
  <si>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</si>
  <si>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</si>
  <si>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</si>
  <si>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</si>
  <si>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</si>
  <si>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</si>
  <si>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</si>
  <si>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</si>
  <si>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</si>
  <si>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</si>
  <si>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</si>
  <si>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</si>
  <si>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</si>
  <si>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</si>
  <si>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</si>
  <si>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</si>
  <si>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</si>
  <si>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</si>
  <si>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</si>
  <si>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</si>
  <si>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</si>
  <si>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</si>
  <si>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</si>
  <si>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</si>
  <si>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</si>
  <si>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</si>
  <si>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</si>
  <si>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</si>
  <si>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</si>
  <si>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</si>
  <si>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</si>
  <si>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</si>
  <si>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</si>
  <si>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</si>
  <si>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</si>
  <si>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</si>
  <si>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</si>
  <si>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</si>
  <si>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</si>
  <si>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</si>
  <si>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</si>
  <si>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</si>
  <si>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</si>
  <si>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</si>
  <si>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</si>
  <si>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</si>
  <si>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</si>
  <si>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</si>
  <si>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</si>
  <si>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</si>
  <si>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</si>
  <si>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</si>
  <si>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</si>
  <si>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</si>
  <si>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</si>
  <si>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</si>
  <si>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</si>
  <si>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</si>
  <si>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</si>
  <si>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</si>
  <si>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</si>
  <si>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</si>
  <si>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</si>
  <si>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</si>
  <si>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</si>
  <si>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</si>
  <si>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</si>
  <si>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</si>
  <si>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</si>
  <si>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</si>
  <si>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</si>
  <si>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</si>
  <si>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</si>
  <si>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</si>
  <si>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</si>
  <si>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</si>
  <si>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</si>
  <si>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</si>
  <si>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</si>
  <si>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</si>
  <si>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</si>
  <si>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</si>
  <si>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</si>
  <si>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</si>
  <si>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</si>
  <si>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</si>
  <si>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</si>
  <si>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</si>
  <si>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</si>
  <si>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</si>
  <si>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</si>
  <si>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</si>
  <si>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</si>
  <si>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</si>
  <si>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</si>
  <si>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</si>
  <si>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</si>
  <si>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</si>
  <si>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</si>
  <si>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</si>
  <si>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</si>
  <si>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</si>
  <si>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</si>
  <si>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</si>
  <si>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</si>
  <si>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</si>
  <si>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</si>
  <si>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</si>
  <si>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</si>
  <si>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</si>
  <si>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</si>
  <si>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</si>
  <si>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</si>
  <si>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</si>
  <si>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</si>
  <si>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</si>
  <si>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</si>
  <si>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</si>
  <si>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</si>
  <si>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</si>
  <si>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</si>
  <si>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</si>
  <si>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</si>
  <si>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</si>
  <si>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</si>
  <si>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</si>
  <si>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</si>
  <si>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</si>
  <si>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</si>
  <si>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</si>
  <si>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</si>
  <si>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</si>
  <si>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</si>
  <si>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</si>
  <si>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</si>
  <si>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</si>
  <si>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</si>
  <si>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</si>
  <si>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</si>
  <si>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</si>
  <si>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</si>
  <si>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</si>
  <si>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</si>
  <si>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</si>
  <si>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</si>
  <si>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</si>
  <si>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</si>
  <si>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</si>
  <si>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</si>
  <si>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</si>
  <si>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</si>
  <si>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</si>
  <si>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</si>
  <si>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</si>
  <si>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</si>
  <si>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</si>
  <si>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</si>
  <si>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</si>
  <si>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</si>
  <si>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</si>
  <si>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</si>
  <si>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</si>
  <si>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</si>
  <si>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</si>
  <si>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</si>
  <si>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</si>
  <si>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</si>
  <si>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</si>
  <si>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</si>
  <si>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</si>
  <si>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</si>
  <si>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</si>
  <si>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</si>
  <si>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</si>
  <si>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</si>
  <si>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</si>
  <si>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</si>
  <si>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</si>
  <si>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</si>
  <si>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</si>
  <si>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</si>
  <si>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</si>
  <si>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</si>
  <si>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</si>
  <si>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</si>
  <si>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</si>
  <si>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</si>
  <si>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</si>
  <si>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</si>
  <si>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</si>
  <si>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</si>
  <si>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</si>
  <si>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</si>
  <si>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</si>
  <si>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</si>
  <si>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</si>
  <si>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</si>
  <si>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</si>
  <si>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</si>
  <si>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</si>
  <si>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</si>
  <si>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</si>
  <si>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</si>
  <si>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</si>
  <si>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</si>
  <si>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</si>
  <si>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</si>
  <si>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</si>
  <si>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</si>
  <si>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</si>
  <si>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</si>
  <si>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</si>
  <si>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</si>
  <si>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</si>
  <si>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</si>
  <si>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</si>
  <si>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</si>
  <si>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</si>
  <si>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</si>
  <si>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</si>
  <si>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</si>
  <si>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</si>
  <si>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</si>
  <si>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</si>
  <si>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</si>
  <si>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</si>
  <si>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</si>
  <si>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</si>
  <si>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</si>
  <si>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</si>
  <si>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</si>
  <si>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</si>
  <si>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</si>
  <si>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</si>
  <si>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</si>
  <si>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</si>
  <si>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</si>
  <si>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</si>
  <si>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</si>
  <si>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</si>
  <si>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</si>
  <si>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</si>
  <si>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</si>
  <si>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</si>
  <si>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</si>
  <si>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</si>
  <si>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</si>
  <si>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</si>
  <si>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</si>
  <si>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</si>
  <si>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</si>
  <si>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</si>
  <si>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</si>
  <si>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</si>
  <si>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</si>
  <si>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</si>
  <si>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</si>
  <si>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</si>
  <si>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</si>
  <si>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</si>
  <si>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</si>
  <si>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</si>
  <si>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</si>
  <si>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</si>
  <si>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</si>
  <si>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</si>
  <si>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</si>
  <si>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</si>
  <si>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</si>
  <si>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</si>
  <si>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</si>
  <si>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</si>
  <si>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</si>
  <si>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</si>
  <si>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</si>
  <si>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</si>
  <si>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</si>
  <si>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</si>
  <si>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</si>
  <si>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</si>
  <si>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</si>
  <si>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</si>
  <si>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</si>
  <si>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</si>
  <si>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</si>
  <si>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</si>
  <si>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</si>
  <si>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</si>
  <si>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</si>
  <si>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</si>
  <si>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</si>
  <si>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</si>
  <si>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</si>
  <si>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</si>
  <si>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</si>
  <si>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</si>
  <si>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</si>
  <si>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</si>
  <si>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</si>
  <si>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</si>
  <si>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</si>
  <si>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</si>
  <si>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</si>
  <si>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</si>
  <si>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</si>
  <si>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</si>
  <si>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</si>
  <si>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</si>
  <si>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</si>
  <si>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</si>
  <si>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</si>
  <si>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</si>
  <si>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</si>
  <si>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</si>
  <si>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</si>
  <si>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</si>
  <si>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</si>
  <si>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</si>
  <si>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</si>
  <si>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</si>
  <si>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</si>
  <si>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</si>
  <si>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</si>
  <si>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</si>
  <si>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</si>
  <si>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</si>
  <si>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</si>
  <si>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</si>
  <si>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</si>
  <si>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</si>
  <si>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</si>
  <si>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</si>
  <si>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</si>
  <si>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</si>
  <si>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</si>
  <si>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</si>
  <si>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</si>
  <si>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</si>
  <si>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</si>
  <si>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</si>
  <si>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</si>
  <si>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</si>
  <si>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</si>
  <si>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</si>
  <si>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</si>
  <si>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</si>
  <si>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</si>
  <si>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</si>
  <si>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</si>
  <si>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</si>
  <si>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</si>
  <si>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</si>
  <si>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</si>
  <si>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</si>
  <si>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</si>
  <si>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</si>
  <si>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</si>
  <si>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</si>
  <si>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</si>
  <si>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</si>
  <si>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</si>
  <si>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</si>
  <si>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</si>
  <si>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</si>
  <si>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</si>
  <si>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</si>
  <si>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</si>
  <si>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</si>
  <si>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</si>
  <si>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</si>
  <si>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</si>
  <si>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</si>
  <si>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</si>
  <si>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</si>
  <si>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</si>
  <si>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</si>
  <si>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</si>
  <si>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</si>
  <si>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</si>
  <si>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</si>
  <si>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</si>
  <si>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</si>
  <si>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</si>
  <si>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</si>
  <si>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</si>
  <si>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</si>
  <si>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</si>
  <si>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</si>
  <si>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</si>
  <si>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</si>
  <si>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</si>
  <si>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</si>
  <si>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</si>
  <si>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</si>
  <si>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</si>
  <si>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</si>
  <si>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</si>
  <si>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</si>
  <si>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</si>
  <si>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</si>
  <si>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</si>
  <si>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</si>
  <si>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</si>
  <si>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</si>
  <si>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</si>
  <si>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</si>
  <si>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</si>
  <si>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</si>
  <si>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</si>
  <si>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</si>
  <si>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</si>
  <si>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</si>
  <si>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</si>
  <si>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</si>
  <si>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</si>
  <si>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</si>
  <si>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</si>
  <si>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</si>
  <si>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</si>
  <si>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</si>
  <si>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</si>
  <si>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</si>
  <si>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</si>
  <si>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</si>
  <si>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</si>
  <si>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</si>
  <si>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</si>
  <si>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</si>
  <si>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</si>
  <si>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</si>
  <si>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</si>
  <si>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</si>
  <si>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</si>
  <si>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</si>
  <si>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</si>
  <si>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</si>
  <si>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</si>
  <si>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</si>
  <si>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</si>
  <si>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</si>
  <si>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</si>
  <si>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</si>
  <si>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</si>
  <si>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</si>
  <si>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</si>
  <si>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</si>
  <si>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</si>
  <si>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</si>
  <si>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</si>
  <si>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</si>
  <si>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</si>
  <si>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</si>
  <si>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</si>
  <si>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</si>
  <si>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</si>
  <si>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</si>
  <si>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</si>
  <si>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</si>
  <si>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</si>
  <si>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</si>
  <si>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</si>
  <si>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</si>
  <si>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</si>
  <si>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</si>
  <si>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</si>
  <si>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</si>
  <si>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</si>
  <si>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</si>
  <si>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</si>
  <si>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</si>
  <si>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</si>
  <si>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</si>
  <si>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</si>
  <si>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</si>
  <si>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</si>
  <si>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</si>
  <si>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</si>
  <si>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</si>
  <si>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</si>
  <si>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</si>
  <si>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</si>
  <si>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</si>
  <si>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</si>
  <si>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</si>
  <si>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</si>
  <si>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</si>
  <si>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</si>
  <si>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</si>
  <si>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</si>
  <si>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</si>
  <si>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</si>
  <si>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</si>
  <si>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</si>
  <si>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</si>
  <si>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</si>
  <si>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</si>
  <si>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</si>
  <si>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</si>
  <si>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</si>
  <si>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</si>
  <si>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</si>
  <si>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</si>
  <si>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</si>
  <si>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</si>
  <si>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</si>
  <si>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</si>
  <si>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</si>
  <si>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</si>
  <si>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</si>
  <si>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</si>
  <si>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</si>
  <si>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</si>
  <si>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</si>
  <si>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</si>
  <si>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</si>
  <si>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</si>
  <si>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</si>
  <si>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</si>
  <si>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</si>
  <si>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</si>
  <si>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</si>
  <si>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</si>
  <si>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</si>
  <si>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</si>
  <si>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</si>
  <si>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</si>
  <si>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</si>
  <si>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</si>
  <si>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</si>
  <si>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</si>
  <si>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</si>
  <si>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</si>
  <si>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</si>
  <si>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</si>
  <si>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</si>
  <si>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</si>
  <si>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</si>
  <si>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</si>
  <si>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</si>
  <si>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</si>
  <si>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</si>
  <si>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</si>
  <si>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</si>
  <si>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</si>
  <si>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</si>
  <si>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</si>
  <si>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</si>
  <si>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</si>
  <si>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</si>
  <si>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</si>
  <si>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</si>
  <si>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</si>
  <si>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</si>
  <si>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</si>
  <si>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</si>
  <si>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</si>
  <si>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</si>
  <si>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</si>
  <si>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</si>
  <si>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</si>
  <si>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</si>
  <si>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</si>
  <si>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</si>
  <si>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</si>
  <si>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</si>
  <si>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</si>
  <si>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</si>
  <si>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</si>
  <si>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</si>
  <si>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</si>
  <si>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</si>
  <si>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</si>
  <si>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</si>
  <si>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</si>
  <si>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</si>
  <si>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</si>
  <si>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</si>
  <si>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</si>
  <si>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</si>
  <si>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</si>
  <si>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</si>
  <si>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</si>
  <si>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</si>
  <si>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</si>
  <si>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</si>
  <si>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</si>
  <si>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</si>
  <si>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</si>
  <si>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</si>
  <si>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</si>
  <si>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</si>
  <si>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</si>
  <si>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</si>
  <si>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</si>
  <si>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</si>
  <si>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</si>
  <si>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</si>
  <si>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</si>
  <si>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</si>
  <si>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</si>
  <si>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</si>
  <si>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</si>
  <si>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</si>
  <si>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</si>
  <si>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</si>
  <si>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</si>
  <si>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</si>
  <si>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</si>
  <si>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</si>
  <si>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</si>
  <si>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</si>
  <si>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</si>
  <si>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</si>
  <si>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</si>
  <si>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</si>
  <si>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</si>
  <si>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</si>
  <si>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</si>
  <si>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</si>
  <si>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</si>
  <si>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</si>
  <si>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</si>
  <si>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</si>
  <si>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</si>
  <si>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</si>
  <si>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</si>
  <si>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</si>
  <si>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</si>
  <si>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</si>
  <si>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</si>
  <si>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</si>
  <si>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</si>
  <si>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</si>
  <si>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</si>
  <si>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</si>
  <si>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</si>
  <si>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</si>
  <si>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</si>
  <si>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</si>
  <si>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</si>
  <si>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</si>
  <si>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</si>
  <si>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</si>
  <si>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</si>
  <si>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</si>
  <si>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</si>
  <si>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</si>
  <si>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</si>
  <si>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</si>
  <si>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</si>
  <si>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</si>
  <si>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</si>
  <si>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</si>
  <si>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</si>
  <si>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</si>
  <si>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</si>
  <si>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</si>
  <si>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</si>
  <si>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</si>
  <si>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</si>
  <si>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</si>
  <si>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</si>
  <si>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</si>
  <si>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</si>
  <si>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</si>
  <si>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</si>
  <si>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</si>
  <si>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</si>
  <si>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</si>
  <si>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</si>
  <si>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</si>
  <si>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</si>
  <si>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</si>
  <si>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</si>
  <si>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</si>
  <si>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</si>
  <si>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</si>
  <si>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</si>
  <si>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</si>
  <si>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</si>
  <si>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</si>
  <si>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</si>
  <si>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</si>
  <si>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</si>
  <si>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</si>
  <si>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</si>
  <si>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</si>
  <si>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</si>
  <si>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</si>
  <si>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</si>
  <si>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</si>
  <si>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</si>
  <si>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</si>
  <si>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</si>
  <si>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</si>
  <si>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</si>
  <si>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</si>
  <si>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</si>
  <si>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</si>
  <si>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</si>
  <si>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</si>
  <si>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</si>
  <si>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</si>
  <si>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</si>
  <si>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</si>
  <si>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</si>
  <si>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</si>
  <si>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</si>
  <si>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</si>
  <si>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</si>
  <si>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</si>
  <si>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</si>
  <si>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</si>
  <si>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</si>
  <si>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</si>
  <si>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</si>
  <si>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</si>
  <si>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</si>
  <si>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</si>
  <si>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</si>
  <si>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</si>
  <si>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</si>
  <si>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</si>
  <si>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</si>
  <si>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</si>
  <si>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</si>
  <si>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</si>
  <si>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</si>
  <si>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</si>
  <si>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</si>
  <si>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</si>
  <si>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</si>
  <si>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</si>
  <si>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</si>
  <si>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</si>
  <si>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</si>
  <si>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</si>
  <si>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</si>
  <si>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</si>
  <si>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</si>
  <si>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</si>
  <si>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</si>
  <si>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</si>
  <si>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</si>
  <si>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</si>
  <si>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</si>
  <si>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</si>
  <si>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</si>
  <si>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</si>
  <si>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</si>
  <si>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</si>
  <si>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</si>
  <si>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</si>
  <si>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</si>
  <si>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</si>
  <si>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</si>
  <si>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</si>
  <si>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</si>
  <si>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</si>
  <si>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</si>
  <si>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</si>
  <si>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</si>
  <si>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</si>
  <si>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</si>
  <si>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</si>
  <si>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</si>
  <si>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</si>
  <si>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</si>
  <si>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</si>
  <si>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</si>
  <si>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</si>
  <si>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</si>
  <si>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</si>
  <si>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</si>
  <si>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</si>
  <si>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</si>
  <si>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</si>
  <si>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</si>
  <si>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</si>
  <si>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</si>
  <si>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</si>
  <si>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</si>
  <si>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</si>
  <si>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</si>
  <si>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</si>
  <si>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</si>
  <si>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</si>
  <si>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</si>
  <si>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</si>
  <si>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</si>
  <si>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</si>
  <si>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</si>
  <si>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</si>
  <si>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</si>
  <si>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</si>
  <si>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</si>
  <si>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</si>
  <si>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</si>
  <si>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</si>
  <si>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</si>
  <si>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</si>
  <si>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</si>
  <si>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</si>
  <si>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</si>
  <si>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</si>
  <si>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</si>
  <si>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</si>
  <si>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</si>
  <si>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</si>
  <si>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</si>
  <si>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</si>
  <si>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</si>
  <si>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</si>
  <si>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</si>
  <si>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</si>
  <si>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</si>
  <si>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</si>
  <si>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</si>
  <si>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</si>
  <si>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</si>
  <si>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</si>
  <si>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</si>
  <si>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</si>
  <si>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</si>
  <si>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</si>
  <si>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</si>
  <si>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</si>
  <si>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</si>
  <si>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</si>
  <si>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</si>
  <si>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</si>
  <si>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</si>
  <si>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</si>
  <si>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</si>
  <si>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</si>
  <si>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</si>
  <si>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</si>
  <si>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</si>
  <si>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</si>
  <si>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</si>
  <si>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</si>
  <si>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</si>
  <si>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</si>
  <si>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</si>
  <si>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</si>
  <si>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</si>
  <si>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</si>
  <si>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</si>
  <si>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</si>
  <si>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</si>
  <si>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</si>
  <si>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</si>
  <si>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</si>
  <si>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</si>
  <si>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</si>
  <si>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</si>
  <si>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</si>
  <si>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</si>
  <si>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</si>
  <si>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</si>
  <si>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</si>
  <si>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</si>
  <si>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</si>
  <si>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</si>
  <si>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</si>
  <si>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</si>
  <si>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</si>
  <si>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</si>
  <si>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</si>
  <si>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</si>
  <si>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</si>
  <si>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</si>
  <si>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</si>
  <si>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</si>
  <si>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</si>
  <si>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</si>
  <si>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</si>
  <si>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</si>
  <si>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</si>
  <si>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</si>
  <si>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</si>
  <si>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</si>
  <si>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</si>
  <si>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</si>
  <si>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</si>
  <si>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</si>
  <si>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</si>
  <si>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</si>
  <si>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</si>
  <si>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</si>
  <si>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</si>
  <si>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</si>
  <si>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</si>
  <si>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</si>
  <si>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</si>
  <si>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</si>
  <si>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</si>
  <si>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</si>
  <si>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</si>
  <si>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</si>
  <si>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</si>
  <si>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</si>
  <si>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</si>
  <si>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</si>
  <si>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</si>
  <si>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</si>
  <si>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</si>
  <si>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</si>
  <si>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</si>
  <si>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</si>
  <si>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</si>
  <si>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</si>
  <si>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</si>
  <si>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</si>
  <si>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</si>
  <si>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</si>
  <si>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</si>
  <si>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</si>
  <si>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</si>
  <si>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</si>
  <si>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</si>
  <si>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</si>
  <si>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</si>
  <si>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</si>
  <si>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</si>
  <si>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</si>
  <si>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</si>
  <si>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</si>
  <si>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</si>
  <si>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</si>
  <si>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</si>
  <si>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</si>
  <si>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</si>
  <si>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</si>
  <si>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</si>
  <si>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</si>
  <si>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</si>
  <si>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</si>
  <si>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</si>
  <si>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</si>
  <si>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</si>
  <si>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</si>
  <si>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</si>
  <si>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</si>
  <si>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</si>
  <si>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</si>
  <si>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</si>
  <si>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</si>
  <si>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</si>
  <si>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</si>
  <si>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</si>
  <si>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</si>
  <si>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</si>
  <si>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</si>
  <si>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</si>
  <si>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</si>
  <si>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</si>
  <si>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</si>
  <si>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</si>
  <si>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</si>
  <si>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</si>
  <si>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</si>
  <si>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</si>
  <si>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</si>
  <si>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</si>
  <si>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</si>
  <si>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</si>
  <si>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</si>
  <si>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</si>
  <si>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</si>
  <si>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</si>
  <si>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</si>
  <si>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</si>
  <si>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</si>
  <si>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</si>
  <si>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</si>
  <si>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</si>
  <si>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</si>
  <si>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</si>
  <si>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</si>
  <si>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</si>
  <si>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</si>
  <si>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</si>
  <si>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</si>
  <si>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</si>
  <si>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</si>
  <si>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</si>
  <si>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</si>
  <si>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</si>
  <si>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</si>
  <si>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</si>
  <si>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</si>
  <si>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</si>
  <si>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</si>
  <si>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</si>
  <si>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</si>
  <si>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</si>
  <si>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</si>
  <si>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</si>
  <si>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</si>
  <si>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</si>
  <si>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</si>
  <si>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</si>
  <si>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</si>
  <si>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</si>
  <si>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</si>
  <si>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</si>
  <si>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</si>
  <si>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</si>
  <si>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</si>
  <si>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</si>
  <si>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</si>
  <si>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</si>
  <si>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</si>
  <si>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</si>
  <si>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</si>
  <si>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</si>
  <si>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</si>
  <si>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</si>
  <si>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</si>
  <si>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</si>
  <si>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</si>
  <si>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</si>
  <si>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</si>
  <si>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</si>
  <si>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</si>
  <si>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</si>
  <si>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</si>
  <si>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</si>
  <si>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</si>
  <si>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</si>
  <si>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</si>
  <si>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</si>
  <si>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</si>
  <si>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</si>
  <si>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</si>
  <si>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</si>
  <si>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</si>
  <si>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</si>
  <si>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</si>
  <si>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</si>
  <si>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</si>
  <si>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</si>
  <si>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</si>
  <si>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</si>
  <si>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</si>
  <si>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</si>
  <si>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</si>
  <si>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</si>
  <si>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</si>
  <si>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</si>
  <si>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</si>
  <si>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</si>
  <si>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</si>
  <si>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</si>
  <si>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</si>
  <si>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</si>
  <si>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</si>
  <si>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</si>
  <si>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</si>
  <si>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</si>
  <si>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</si>
  <si>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</si>
  <si>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</si>
  <si>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</si>
  <si>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</si>
  <si>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</si>
  <si>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</si>
  <si>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</si>
  <si>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</si>
  <si>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</si>
  <si>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</si>
  <si>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</si>
  <si>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</si>
  <si>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</si>
  <si>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</si>
  <si>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</si>
  <si>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</si>
  <si>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</si>
  <si>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</si>
  <si>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</si>
  <si>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</si>
  <si>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</si>
  <si>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</si>
  <si>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</si>
  <si>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</si>
  <si>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</si>
  <si>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</si>
  <si>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</si>
  <si>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</si>
  <si>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</si>
  <si>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</si>
  <si>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</si>
  <si>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</si>
  <si>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</si>
  <si>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</si>
  <si>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</si>
  <si>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</si>
  <si>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</si>
  <si>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</si>
  <si>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</si>
  <si>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</si>
  <si>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</si>
  <si>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</si>
  <si>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</si>
  <si>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</si>
  <si>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</si>
  <si>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</si>
  <si>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</si>
  <si>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</si>
  <si>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</si>
  <si>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</si>
  <si>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</si>
  <si>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</si>
  <si>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</si>
  <si>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</si>
  <si>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</si>
  <si>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</si>
  <si>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</si>
  <si>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</si>
  <si>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</si>
  <si>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</si>
  <si>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</si>
  <si>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</si>
  <si>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</si>
  <si>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</si>
  <si>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</si>
  <si>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</si>
  <si>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</si>
  <si>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</si>
  <si>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</si>
  <si>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</si>
  <si>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</si>
  <si>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</si>
  <si>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</si>
  <si>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</si>
  <si>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</si>
  <si>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</si>
  <si>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</si>
  <si>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</si>
  <si>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</si>
  <si>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</si>
  <si>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</si>
  <si>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</si>
  <si>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</si>
  <si>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</si>
  <si>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</si>
  <si>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</si>
  <si>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</si>
  <si>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</si>
  <si>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</si>
  <si>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</si>
  <si>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</si>
  <si>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</si>
  <si>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</si>
  <si>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</si>
  <si>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</si>
  <si>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</si>
  <si>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Total Sales</t>
  </si>
  <si>
    <t>Average Sales</t>
  </si>
  <si>
    <t>Average of Sales</t>
  </si>
  <si>
    <t>No.of.Items</t>
  </si>
  <si>
    <t>Avg.rating</t>
  </si>
  <si>
    <t>Average of Rating</t>
  </si>
  <si>
    <t>Row Labels</t>
  </si>
  <si>
    <t>Grand Total</t>
  </si>
  <si>
    <t>Total Sales BY Fat Content</t>
  </si>
  <si>
    <t>Total Sales By Item Type</t>
  </si>
  <si>
    <t>Fat content by Outlet</t>
  </si>
  <si>
    <t>Total Sales By Outlet Estab..</t>
  </si>
  <si>
    <t>Sales By Outlet Size</t>
  </si>
  <si>
    <t>Sales By Outlet Location</t>
  </si>
  <si>
    <t>Average Outlet Sales</t>
  </si>
  <si>
    <t>Sr. No</t>
  </si>
  <si>
    <t>Count of Sr. No</t>
  </si>
  <si>
    <t>Outlet Counts</t>
  </si>
  <si>
    <t>Item type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</si>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</sst>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quot;M&quot;"/>
    <numFmt numFmtId="165" formatCode="\$0.00"/>
    <numFmt numFmtId="166" formatCode="\$0.0,&quot;K&quot;"/>
    <numFmt numFmtId="167" formatCode="\$0.0"/>
    <numFmt numFmtId="168" formatCode="0.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33" borderId="0" xfId="0" applyFill="1"/>
    <xf numFmtId="0" fontId="0" fillId="0" borderId="0" xfId="0" pivotButton="1"/>
    <xf numFmtId="2" fontId="0" fillId="0" borderId="0" xfId="0" applyNumberFormat="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34" borderId="0" xfId="0" applyFill="1" applyAlignment="1">
      <alignment horizontal="center"/>
    </xf>
    <xf numFmtId="167" fontId="0" fillId="0" borderId="0" xfId="0" applyNumberFormat="1"/>
    <xf numFmtId="1" fontId="0" fillId="0" borderId="0" xfId="0" applyNumberFormat="1"/>
    <xf numFmtId="168" fontId="0" fillId="0" borderId="0" xfId="0" applyNumberFormat="1"/>
    <xf numFmtId="0" fontId="0" fillId="35" borderId="10" xfId="0" applyFill="1" applyBorder="1"/>
    <xf numFmtId="0" fontId="0" fillId="35" borderId="11" xfId="0" applyFill="1" applyBorder="1"/>
    <xf numFmtId="0" fontId="0" fillId="35" borderId="12" xfId="0" applyFill="1" applyBorder="1"/>
    <xf numFmtId="0" fontId="0" fillId="35" borderId="13" xfId="0" applyFill="1" applyBorder="1"/>
    <xf numFmtId="0" fontId="0" fillId="35" borderId="0" xfId="0" applyFill="1"/>
    <xf numFmtId="0" fontId="0" fillId="35" borderId="14" xfId="0" applyFill="1" applyBorder="1"/>
    <xf numFmtId="0" fontId="0" fillId="35" borderId="15" xfId="0" applyFill="1" applyBorder="1"/>
    <xf numFmtId="0" fontId="0" fillId="35" borderId="16" xfId="0" applyFill="1" applyBorder="1"/>
    <xf numFmtId="0" fontId="0" fillId="35" borderId="17" xfId="0" applyFill="1" applyBorder="1"/>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9">
    <dxf>
      <numFmt numFmtId="166" formatCode="\$0.0,&quot;K&quot;"/>
    </dxf>
    <dxf>
      <numFmt numFmtId="166" formatCode="\$0.0,&quot;K&quot;"/>
    </dxf>
    <dxf>
      <numFmt numFmtId="166" formatCode="\$0.0,&quot;K&quot;"/>
    </dxf>
    <dxf>
      <numFmt numFmtId="166" formatCode="\$0.0,&quot;K&quot;"/>
    </dxf>
    <dxf>
      <numFmt numFmtId="168" formatCode="0.0"/>
    </dxf>
    <dxf>
      <numFmt numFmtId="2" formatCode="0.00"/>
    </dxf>
    <dxf>
      <numFmt numFmtId="1" formatCode="0"/>
    </dxf>
    <dxf>
      <numFmt numFmtId="167" formatCode="\$0.0"/>
    </dxf>
    <dxf>
      <numFmt numFmtId="167" formatCode="\$0.0"/>
    </dxf>
    <dxf>
      <numFmt numFmtId="166" formatCode="\$0.0,&quot;K&quot;"/>
    </dxf>
    <dxf>
      <numFmt numFmtId="166" formatCode="\$0.0,&quot;K&quot;"/>
    </dxf>
    <dxf>
      <numFmt numFmtId="2" formatCode="0.00"/>
    </dxf>
    <dxf>
      <numFmt numFmtId="166" formatCode="\$0.0,&quot;K&quot;"/>
    </dxf>
    <dxf>
      <numFmt numFmtId="166" formatCode="\$0.0,&quot;K&quot;"/>
    </dxf>
    <dxf>
      <numFmt numFmtId="166" formatCode="\$0.0,&quot;K&quot;"/>
    </dxf>
    <dxf>
      <numFmt numFmtId="166" formatCode="\$0.0,&quot;K&quot;"/>
    </dxf>
    <dxf>
      <numFmt numFmtId="166" formatCode="\$0.0,&quot;K&quot;"/>
    </dxf>
    <dxf>
      <numFmt numFmtId="168" formatCode="0.0"/>
    </dxf>
    <dxf>
      <numFmt numFmtId="2" formatCode="0.00"/>
    </dxf>
    <dxf>
      <numFmt numFmtId="1" formatCode="0"/>
    </dxf>
    <dxf>
      <numFmt numFmtId="167" formatCode="\$0.0"/>
    </dxf>
    <dxf>
      <numFmt numFmtId="167" formatCode="\$0.0"/>
    </dxf>
    <dxf>
      <numFmt numFmtId="166" formatCode="\$0.0,&quot;K&quot;"/>
    </dxf>
    <dxf>
      <numFmt numFmtId="166" formatCode="\$0.0,&quot;K&quot;"/>
    </dxf>
    <dxf>
      <numFmt numFmtId="2" formatCode="0.00"/>
    </dxf>
    <dxf>
      <numFmt numFmtId="166" formatCode="\$0.0,&quot;K&quot;"/>
    </dxf>
    <dxf>
      <numFmt numFmtId="166" formatCode="\$0.0,&quot;K&quot;"/>
    </dxf>
    <dxf>
      <numFmt numFmtId="166" formatCode="\$0.0,&quot;K&quot;"/>
    </dxf>
    <dxf>
      <numFmt numFmtId="166" formatCode="\$0.0,&quot;K&quot;"/>
    </dxf>
    <dxf>
      <numFmt numFmtId="166" formatCode="\$0.0,&quot;K&quot;"/>
    </dxf>
    <dxf>
      <numFmt numFmtId="168" formatCode="0.0"/>
    </dxf>
    <dxf>
      <numFmt numFmtId="2" formatCode="0.00"/>
    </dxf>
    <dxf>
      <numFmt numFmtId="1" formatCode="0"/>
    </dxf>
    <dxf>
      <numFmt numFmtId="167" formatCode="\$0.0"/>
    </dxf>
    <dxf>
      <numFmt numFmtId="167" formatCode="\$0.0"/>
    </dxf>
    <dxf>
      <numFmt numFmtId="166" formatCode="\$0.0,&quot;K&quot;"/>
    </dxf>
    <dxf>
      <numFmt numFmtId="166" formatCode="\$0.0,&quot;K&quot;"/>
    </dxf>
    <dxf>
      <numFmt numFmtId="2" formatCode="0.00"/>
    </dxf>
    <dxf>
      <numFmt numFmtId="166" formatCode="\$0.0,&quot;K&quot;"/>
    </dxf>
    <dxf>
      <numFmt numFmtId="166" formatCode="\$0.0,&quot;K&quot;"/>
    </dxf>
    <dxf>
      <numFmt numFmtId="166" formatCode="\$0.0,&quot;K&quot;"/>
    </dxf>
    <dxf>
      <numFmt numFmtId="166" formatCode="\$0.0,&quot;K&quot;"/>
    </dxf>
    <dxf>
      <numFmt numFmtId="166" formatCode="\$0.0,&quot;K&quot;"/>
    </dxf>
    <dxf>
      <numFmt numFmtId="168" formatCode="0.0"/>
    </dxf>
    <dxf>
      <numFmt numFmtId="2" formatCode="0.00"/>
    </dxf>
    <dxf>
      <numFmt numFmtId="1" formatCode="0"/>
    </dxf>
    <dxf>
      <numFmt numFmtId="167" formatCode="\$0.0"/>
    </dxf>
    <dxf>
      <numFmt numFmtId="167" formatCode="\$0.0"/>
    </dxf>
    <dxf>
      <numFmt numFmtId="166" formatCode="\$0.0,&quot;K&quot;"/>
    </dxf>
    <dxf>
      <numFmt numFmtId="166" formatCode="\$0.0,&quot;K&quot;"/>
    </dxf>
    <dxf>
      <numFmt numFmtId="2" formatCode="0.00"/>
    </dxf>
    <dxf>
      <numFmt numFmtId="166" formatCode="\$0.0,&quot;K&quot;"/>
    </dxf>
    <dxf>
      <numFmt numFmtId="166" formatCode="\$0.0,&quot;K&quot;"/>
    </dxf>
    <dxf>
      <numFmt numFmtId="166" formatCode="\$0.0,&quot;K&quot;"/>
    </dxf>
    <dxf>
      <numFmt numFmtId="166" formatCode="\$0.0,&quot;K&quot;"/>
    </dxf>
    <dxf>
      <numFmt numFmtId="166" formatCode="\$0.0,&quot;K&quot;"/>
    </dxf>
    <dxf>
      <numFmt numFmtId="168" formatCode="0.0"/>
    </dxf>
    <dxf>
      <numFmt numFmtId="2" formatCode="0.00"/>
    </dxf>
    <dxf>
      <numFmt numFmtId="1" formatCode="0"/>
    </dxf>
    <dxf>
      <numFmt numFmtId="167" formatCode="\$0.0"/>
    </dxf>
    <dxf>
      <numFmt numFmtId="167" formatCode="\$0.0"/>
    </dxf>
    <dxf>
      <numFmt numFmtId="166" formatCode="\$0.0,&quot;K&quot;"/>
    </dxf>
    <dxf>
      <numFmt numFmtId="166" formatCode="\$0.0,&quot;K&quot;"/>
    </dxf>
    <dxf>
      <numFmt numFmtId="2" formatCode="0.00"/>
    </dxf>
    <dxf>
      <numFmt numFmtId="166" formatCode="\$0.0,&quot;K&quot;"/>
    </dxf>
    <dxf>
      <numFmt numFmtId="166" formatCode="\$0.0,&quot;K&quot;"/>
    </dxf>
    <dxf>
      <numFmt numFmtId="166" formatCode="\$0.0,&quot;K&quot;"/>
    </dxf>
    <dxf>
      <numFmt numFmtId="166" formatCode="\$0.0,&quot;K&quot;"/>
    </dxf>
    <dxf>
      <numFmt numFmtId="166" formatCode="\$0.0,&quot;K&quot;"/>
    </dxf>
    <dxf>
      <numFmt numFmtId="168" formatCode="0.0"/>
    </dxf>
    <dxf>
      <numFmt numFmtId="2" formatCode="0.00"/>
    </dxf>
    <dxf>
      <numFmt numFmtId="1" formatCode="0"/>
    </dxf>
    <dxf>
      <numFmt numFmtId="167" formatCode="\$0.0"/>
    </dxf>
    <dxf>
      <numFmt numFmtId="167" formatCode="\$0.0"/>
    </dxf>
    <dxf>
      <numFmt numFmtId="166" formatCode="\$0.0,&quot;K&quot;"/>
    </dxf>
    <dxf>
      <numFmt numFmtId="166" formatCode="\$0.0,&quot;K&quot;"/>
    </dxf>
    <dxf>
      <numFmt numFmtId="2" formatCode="0.00"/>
    </dxf>
    <dxf>
      <numFmt numFmtId="166" formatCode="\$0.0,&quot;K&quot;"/>
    </dxf>
    <dxf>
      <numFmt numFmtId="166" formatCode="\$0.0,&quot;K&quot;"/>
    </dxf>
    <dxf>
      <numFmt numFmtId="166" formatCode="\$0.0,&quot;K&quot;"/>
    </dxf>
    <dxf>
      <numFmt numFmtId="166" formatCode="\$0.0,&quot;K&quot;"/>
    </dxf>
    <dxf>
      <numFmt numFmtId="166" formatCode="\$0.0,&quot;K&quot;"/>
    </dxf>
    <dxf>
      <numFmt numFmtId="168" formatCode="0.0"/>
    </dxf>
    <dxf>
      <numFmt numFmtId="2" formatCode="0.00"/>
    </dxf>
    <dxf>
      <numFmt numFmtId="1" formatCode="0"/>
    </dxf>
    <dxf>
      <numFmt numFmtId="167" formatCode="\$0.0"/>
    </dxf>
    <dxf>
      <numFmt numFmtId="167" formatCode="\$0.0"/>
    </dxf>
    <dxf>
      <numFmt numFmtId="166" formatCode="\$0.0,&quot;K&quot;"/>
    </dxf>
    <dxf>
      <numFmt numFmtId="166" formatCode="\$0.0,&quot;K&quot;"/>
    </dxf>
    <dxf>
      <numFmt numFmtId="2" formatCode="0.00"/>
    </dxf>
    <dxf>
      <numFmt numFmtId="166" formatCode="\$0.0,&quot;K&quot;"/>
    </dxf>
    <dxf>
      <numFmt numFmtId="166" formatCode="\$0.0,&quot;K&quot;"/>
    </dxf>
    <dxf>
      <numFmt numFmtId="166" formatCode="\$0.0,&quot;K&quot;"/>
    </dxf>
    <dxf>
      <numFmt numFmtId="166" formatCode="\$0.0,&quot;K&quot;"/>
    </dxf>
    <dxf>
      <numFmt numFmtId="166" formatCode="\$0.0,&quot;K&quot;"/>
    </dxf>
    <dxf>
      <numFmt numFmtId="168" formatCode="0.0"/>
    </dxf>
    <dxf>
      <numFmt numFmtId="2" formatCode="0.00"/>
    </dxf>
    <dxf>
      <numFmt numFmtId="1" formatCode="0"/>
    </dxf>
    <dxf>
      <numFmt numFmtId="167" formatCode="\$0.0"/>
    </dxf>
    <dxf>
      <numFmt numFmtId="167" formatCode="\$0.0"/>
    </dxf>
    <dxf>
      <numFmt numFmtId="166" formatCode="\$0.0,&quot;K&quot;"/>
    </dxf>
    <dxf>
      <numFmt numFmtId="166" formatCode="\$0.0,&quot;K&quot;"/>
    </dxf>
    <dxf>
      <numFmt numFmtId="2" formatCode="0.00"/>
    </dxf>
    <dxf>
      <numFmt numFmtId="166" formatCode="\$0.0,&quot;K&quot;"/>
    </dxf>
    <dxf>
      <numFmt numFmtId="166" formatCode="\$0.0,&quot;K&quot;"/>
    </dxf>
    <dxf>
      <numFmt numFmtId="166" formatCode="\$0.0,&quot;K&quot;"/>
    </dxf>
    <dxf>
      <numFmt numFmtId="166" formatCode="\$0.0,&quot;K&quot;"/>
    </dxf>
    <dxf>
      <numFmt numFmtId="166" formatCode="\$0.0,&quot;K&quot;"/>
    </dxf>
    <dxf>
      <numFmt numFmtId="168" formatCode="0.0"/>
    </dxf>
    <dxf>
      <numFmt numFmtId="2" formatCode="0.00"/>
    </dxf>
    <dxf>
      <numFmt numFmtId="1" formatCode="0"/>
    </dxf>
    <dxf>
      <numFmt numFmtId="167" formatCode="\$0.0"/>
    </dxf>
    <dxf>
      <numFmt numFmtId="167" formatCode="\$0.0"/>
    </dxf>
    <dxf>
      <numFmt numFmtId="166" formatCode="\$0.0,&quot;K&quot;"/>
    </dxf>
    <dxf>
      <numFmt numFmtId="166" formatCode="\$0.0,&quot;K&quot;"/>
    </dxf>
    <dxf>
      <numFmt numFmtId="2" formatCode="0.00"/>
    </dxf>
    <dxf>
      <numFmt numFmtId="166" formatCode="\$0.0,&quot;K&quot;"/>
    </dxf>
    <dxf>
      <numFmt numFmtId="166" formatCode="\$0.0,&quot;K&quot;"/>
    </dxf>
    <dxf>
      <numFmt numFmtId="166" formatCode="\$0.0,&quot;K&quot;"/>
    </dxf>
    <dxf>
      <numFmt numFmtId="166" formatCode="\$0.0,&quot;K&quot;"/>
    </dxf>
    <dxf>
      <numFmt numFmtId="166" formatCode="\$0.0,&quot;K&quot;"/>
    </dxf>
    <dxf>
      <numFmt numFmtId="168" formatCode="0.0"/>
    </dxf>
    <dxf>
      <numFmt numFmtId="2" formatCode="0.00"/>
    </dxf>
    <dxf>
      <numFmt numFmtId="1" formatCode="0"/>
    </dxf>
    <dxf>
      <numFmt numFmtId="167" formatCode="\$0.0"/>
    </dxf>
    <dxf>
      <numFmt numFmtId="167" formatCode="\$0.0"/>
    </dxf>
    <dxf>
      <numFmt numFmtId="166" formatCode="\$0.0,&quot;K&quot;"/>
    </dxf>
    <dxf>
      <numFmt numFmtId="166" formatCode="\$0.0,&quot;K&quot;"/>
    </dxf>
    <dxf>
      <numFmt numFmtId="2" formatCode="0.00"/>
    </dxf>
    <dxf>
      <numFmt numFmtId="166" formatCode="\$0.0,&quot;K&quot;"/>
    </dxf>
    <dxf>
      <numFmt numFmtId="166" formatCode="\$0.0,&quot;K&quot;"/>
    </dxf>
    <dxf>
      <numFmt numFmtId="166" formatCode="\$0.0,&quot;K&quot;"/>
    </dxf>
    <dxf>
      <numFmt numFmtId="166" formatCode="\$0.0,&quot;K&quot;"/>
    </dxf>
    <dxf>
      <numFmt numFmtId="166" formatCode="\$0.0,&quot;K&quot;"/>
    </dxf>
    <dxf>
      <numFmt numFmtId="168" formatCode="0.0"/>
    </dxf>
    <dxf>
      <numFmt numFmtId="2" formatCode="0.00"/>
    </dxf>
    <dxf>
      <numFmt numFmtId="1" formatCode="0"/>
    </dxf>
    <dxf>
      <numFmt numFmtId="167" formatCode="\$0.0"/>
    </dxf>
    <dxf>
      <numFmt numFmtId="167" formatCode="\$0.0"/>
    </dxf>
    <dxf>
      <numFmt numFmtId="166" formatCode="\$0.0,&quot;K&quot;"/>
    </dxf>
    <dxf>
      <numFmt numFmtId="166" formatCode="\$0.0,&quot;K&quot;"/>
    </dxf>
    <dxf>
      <numFmt numFmtId="2" formatCode="0.00"/>
    </dxf>
    <dxf>
      <numFmt numFmtId="166" formatCode="\$0.0,&quot;K&quot;"/>
    </dxf>
    <dxf>
      <numFmt numFmtId="166" formatCode="\$0.0,&quot;K&quot;"/>
    </dxf>
    <dxf>
      <numFmt numFmtId="166" formatCode="\$0.0,&quot;K&quot;"/>
    </dxf>
    <dxf>
      <numFmt numFmtId="166" formatCode="\$0.0,&quot;K&quot;"/>
    </dxf>
    <dxf>
      <numFmt numFmtId="166" formatCode="\$0.0,&quot;K&quot;"/>
    </dxf>
    <dxf>
      <numFmt numFmtId="168" formatCode="0.0"/>
    </dxf>
    <dxf>
      <numFmt numFmtId="2" formatCode="0.00"/>
    </dxf>
    <dxf>
      <numFmt numFmtId="1" formatCode="0"/>
    </dxf>
    <dxf>
      <numFmt numFmtId="167" formatCode="\$0.0"/>
    </dxf>
    <dxf>
      <numFmt numFmtId="167" formatCode="\$0.0"/>
    </dxf>
    <dxf>
      <numFmt numFmtId="166" formatCode="\$0.0,&quot;K&quot;"/>
    </dxf>
    <dxf>
      <numFmt numFmtId="166" formatCode="\$0.0,&quot;K&quot;"/>
    </dxf>
    <dxf>
      <numFmt numFmtId="2" formatCode="0.00"/>
    </dxf>
    <dxf>
      <numFmt numFmtId="166" formatCode="\$0.0,&quot;K&quot;"/>
    </dxf>
    <dxf>
      <numFmt numFmtId="166" formatCode="\$0.0,&quot;K&quot;"/>
    </dxf>
    <dxf>
      <numFmt numFmtId="166" formatCode="\$0.0,&quot;K&quot;"/>
    </dxf>
    <dxf>
      <numFmt numFmtId="166" formatCode="\$0.0,&quot;K&quot;"/>
    </dxf>
    <dxf>
      <numFmt numFmtId="166" formatCode="\$0.0,&quot;K&quot;"/>
    </dxf>
    <dxf>
      <numFmt numFmtId="168" formatCode="0.0"/>
    </dxf>
    <dxf>
      <numFmt numFmtId="2" formatCode="0.00"/>
    </dxf>
    <dxf>
      <numFmt numFmtId="1" formatCode="0"/>
    </dxf>
    <dxf>
      <numFmt numFmtId="167" formatCode="\$0.0"/>
    </dxf>
    <dxf>
      <numFmt numFmtId="167" formatCode="\$0.0"/>
    </dxf>
    <dxf>
      <numFmt numFmtId="166" formatCode="\$0.0,&quot;K&quot;"/>
    </dxf>
    <dxf>
      <numFmt numFmtId="166" formatCode="\$0.0,&quot;K&quot;"/>
    </dxf>
    <dxf>
      <numFmt numFmtId="2" formatCode="0.00"/>
    </dxf>
    <dxf>
      <numFmt numFmtId="166" formatCode="\$0.0,&quot;K&quot;"/>
    </dxf>
    <dxf>
      <numFmt numFmtId="166" formatCode="\$0.0,&quot;K&quot;"/>
    </dxf>
    <dxf>
      <numFmt numFmtId="166" formatCode="\$0.0,&quot;K&quot;"/>
    </dxf>
    <dxf>
      <numFmt numFmtId="166" formatCode="\$0.0,&quot;K&quot;"/>
    </dxf>
    <dxf>
      <numFmt numFmtId="166" formatCode="\$0.0,&quot;K&quot;"/>
    </dxf>
    <dxf>
      <numFmt numFmtId="168" formatCode="0.0"/>
    </dxf>
    <dxf>
      <numFmt numFmtId="2" formatCode="0.00"/>
    </dxf>
    <dxf>
      <numFmt numFmtId="1" formatCode="0"/>
    </dxf>
    <dxf>
      <numFmt numFmtId="167" formatCode="\$0.0"/>
    </dxf>
    <dxf>
      <numFmt numFmtId="167" formatCode="\$0.0"/>
    </dxf>
    <dxf>
      <numFmt numFmtId="166" formatCode="\$0.0,&quot;K&quot;"/>
    </dxf>
    <dxf>
      <numFmt numFmtId="166" formatCode="\$0.0,&quot;K&quot;"/>
    </dxf>
    <dxf>
      <numFmt numFmtId="2" formatCode="0.00"/>
    </dxf>
    <dxf>
      <numFmt numFmtId="166" formatCode="\$0.0,&quot;K&quot;"/>
    </dxf>
    <dxf>
      <numFmt numFmtId="166" formatCode="\$0.0,&quot;K&quot;"/>
    </dxf>
    <dxf>
      <numFmt numFmtId="166" formatCode="\$0.0,&quot;K&quot;"/>
    </dxf>
    <dxf>
      <numFmt numFmtId="166" formatCode="\$0.0,&quot;K&quot;"/>
    </dxf>
    <dxf>
      <numFmt numFmtId="166" formatCode="\$0.0,&quot;K&quot;"/>
    </dxf>
    <dxf>
      <numFmt numFmtId="168" formatCode="0.0"/>
    </dxf>
    <dxf>
      <numFmt numFmtId="2" formatCode="0.00"/>
    </dxf>
    <dxf>
      <numFmt numFmtId="1" formatCode="0"/>
    </dxf>
    <dxf>
      <numFmt numFmtId="167" formatCode="\$0.0"/>
    </dxf>
    <dxf>
      <numFmt numFmtId="167" formatCode="\$0.0"/>
    </dxf>
    <dxf>
      <numFmt numFmtId="166" formatCode="\$0.0,&quot;K&quot;"/>
    </dxf>
    <dxf>
      <numFmt numFmtId="166" formatCode="\$0.0,&quot;K&quot;"/>
    </dxf>
    <dxf>
      <numFmt numFmtId="2" formatCode="0.00"/>
    </dxf>
    <dxf>
      <numFmt numFmtId="166" formatCode="\$0.0,&quot;K&quot;"/>
    </dxf>
    <dxf>
      <numFmt numFmtId="166" formatCode="\$0.0,&quot;K&quot;"/>
    </dxf>
    <dxf>
      <numFmt numFmtId="166" formatCode="\$0.0,&quot;K&quot;"/>
    </dxf>
    <dxf>
      <numFmt numFmtId="166" formatCode="\$0.0,&quot;K&quot;"/>
    </dxf>
    <dxf>
      <numFmt numFmtId="166" formatCode="\$0.0,&quot;K&quot;"/>
    </dxf>
    <dxf>
      <numFmt numFmtId="168" formatCode="0.0"/>
    </dxf>
    <dxf>
      <numFmt numFmtId="2" formatCode="0.00"/>
    </dxf>
    <dxf>
      <numFmt numFmtId="1" formatCode="0"/>
    </dxf>
    <dxf>
      <numFmt numFmtId="167" formatCode="\$0.0"/>
    </dxf>
    <dxf>
      <numFmt numFmtId="167" formatCode="\$0.0"/>
    </dxf>
    <dxf>
      <numFmt numFmtId="166" formatCode="\$0.0,&quot;K&quot;"/>
    </dxf>
    <dxf>
      <numFmt numFmtId="166" formatCode="\$0.0,&quot;K&quot;"/>
    </dxf>
    <dxf>
      <numFmt numFmtId="2" formatCode="0.00"/>
    </dxf>
    <dxf>
      <numFmt numFmtId="166" formatCode="\$0.0,&quot;K&quot;"/>
    </dxf>
    <dxf>
      <numFmt numFmtId="166" formatCode="\$0.0,&quot;K&quot;"/>
    </dxf>
    <dxf>
      <numFmt numFmtId="166" formatCode="\$0.0,&quot;K&quot;"/>
    </dxf>
    <dxf>
      <numFmt numFmtId="166" formatCode="\$0.0,&quot;K&quot;"/>
    </dxf>
    <dxf>
      <numFmt numFmtId="166" formatCode="\$0.0,&quot;K&quot;"/>
    </dxf>
    <dxf>
      <numFmt numFmtId="168" formatCode="0.0"/>
    </dxf>
    <dxf>
      <numFmt numFmtId="2" formatCode="0.00"/>
    </dxf>
    <dxf>
      <numFmt numFmtId="1" formatCode="0"/>
    </dxf>
    <dxf>
      <numFmt numFmtId="167" formatCode="\$0.0"/>
    </dxf>
    <dxf>
      <numFmt numFmtId="167" formatCode="\$0.0"/>
    </dxf>
    <dxf>
      <numFmt numFmtId="166" formatCode="\$0.0,&quot;K&quot;"/>
    </dxf>
    <dxf>
      <numFmt numFmtId="166" formatCode="\$0.0,&quot;K&quot;"/>
    </dxf>
    <dxf>
      <numFmt numFmtId="2" formatCode="0.00"/>
    </dxf>
    <dxf>
      <numFmt numFmtId="166" formatCode="\$0.0,&quot;K&quot;"/>
    </dxf>
    <dxf>
      <numFmt numFmtId="166" formatCode="\$0.0,&quot;K&quot;"/>
    </dxf>
    <dxf>
      <numFmt numFmtId="166" formatCode="\$0.0,&quot;K&quot;"/>
    </dxf>
    <dxf>
      <numFmt numFmtId="166" formatCode="\$0.0,&quot;K&quot;"/>
    </dxf>
    <dxf>
      <numFmt numFmtId="166" formatCode="\$0.0,&quot;K&quot;"/>
    </dxf>
    <dxf>
      <numFmt numFmtId="168" formatCode="0.0"/>
    </dxf>
    <dxf>
      <numFmt numFmtId="2" formatCode="0.00"/>
    </dxf>
    <dxf>
      <numFmt numFmtId="1" formatCode="0"/>
    </dxf>
    <dxf>
      <numFmt numFmtId="167" formatCode="\$0.0"/>
    </dxf>
    <dxf>
      <numFmt numFmtId="167" formatCode="\$0.0"/>
    </dxf>
    <dxf>
      <numFmt numFmtId="166" formatCode="\$0.0,&quot;K&quot;"/>
    </dxf>
    <dxf>
      <numFmt numFmtId="166" formatCode="\$0.0,&quot;K&quot;"/>
    </dxf>
    <dxf>
      <numFmt numFmtId="2" formatCode="0.00"/>
    </dxf>
    <dxf>
      <numFmt numFmtId="166" formatCode="\$0.0,&quot;K&quot;"/>
    </dxf>
    <dxf>
      <numFmt numFmtId="166" formatCode="\$0.0,&quot;K&quot;"/>
    </dxf>
    <dxf>
      <numFmt numFmtId="166" formatCode="\$0.0,&quot;K&quot;"/>
    </dxf>
    <dxf>
      <numFmt numFmtId="2" formatCode="0.00"/>
    </dxf>
    <dxf>
      <numFmt numFmtId="166" formatCode="\$0.0,&quot;K&quot;"/>
    </dxf>
    <dxf>
      <numFmt numFmtId="168" formatCode="0.0"/>
    </dxf>
    <dxf>
      <numFmt numFmtId="1" formatCode="0"/>
    </dxf>
    <dxf>
      <numFmt numFmtId="2" formatCode="0.00"/>
    </dxf>
    <dxf>
      <numFmt numFmtId="166" formatCode="\$0.0,&quot;K&quot;"/>
    </dxf>
    <dxf>
      <numFmt numFmtId="166" formatCode="\$0.0,&quot;K&quot;"/>
    </dxf>
    <dxf>
      <numFmt numFmtId="166" formatCode="\$0.0,&quot;K&quot;"/>
    </dxf>
    <dxf>
      <numFmt numFmtId="166" formatCode="\$0.0,&quot;K&quot;"/>
    </dxf>
    <dxf>
      <numFmt numFmtId="167" formatCode="\$0.0"/>
    </dxf>
    <dxf>
      <numFmt numFmtId="167" formatCode="\$0.0"/>
    </dxf>
    <dxf>
      <font>
        <b/>
        <i val="0"/>
        <sz val="10"/>
        <color theme="1"/>
        <name val="Calibri"/>
        <family val="2"/>
        <scheme val="minor"/>
      </font>
      <fill>
        <patternFill>
          <bgColor rgb="FFFED348"/>
        </patternFill>
      </fill>
      <border diagonalUp="0" diagonalDown="0">
        <left/>
        <right/>
        <top/>
        <bottom/>
        <vertical/>
        <horizontal/>
      </border>
    </dxf>
    <dxf>
      <font>
        <b/>
        <i val="0"/>
        <sz val="10"/>
        <color theme="1"/>
        <name val="Calibri"/>
        <family val="2"/>
        <scheme val="minor"/>
      </font>
      <fill>
        <patternFill>
          <bgColor rgb="FFFFE36D"/>
        </patternFill>
      </fill>
      <border diagonalUp="0" diagonalDown="0">
        <left/>
        <right/>
        <top/>
        <bottom/>
        <vertical/>
        <horizontal/>
      </border>
    </dxf>
  </dxfs>
  <tableStyles count="1" defaultTableStyle="TableStyleMedium2" defaultPivotStyle="PivotStyleLight16">
    <tableStyle name="Slicer Style 1" pivot="0" table="0" count="10" xr9:uid="{8E54CFCF-41DD-4759-B1CA-B1260E63826D}">
      <tableStyleElement type="wholeTable" dxfId="248"/>
      <tableStyleElement type="headerRow" dxfId="247"/>
    </tableStyle>
  </tableStyles>
  <colors>
    <mruColors>
      <color rgb="FFF2F8EE"/>
      <color rgb="FFB49200"/>
      <color rgb="FFFFD44B"/>
      <color rgb="FFFFE36D"/>
      <color rgb="FFFED348"/>
      <color rgb="FFFFD243"/>
      <color rgb="FFFFE181"/>
      <color rgb="FFFFCC00"/>
      <color rgb="FFFFCF01"/>
      <color rgb="FFD2AA00"/>
    </mruColors>
  </colors>
  <extLst>
    <ext xmlns:x14="http://schemas.microsoft.com/office/spreadsheetml/2009/9/main" uri="{46F421CA-312F-682f-3DD2-61675219B42D}">
      <x14:dxfs count="8">
        <dxf>
          <font>
            <b/>
            <i val="0"/>
            <sz val="10"/>
            <name val="Calibri"/>
            <family val="2"/>
            <scheme val="minor"/>
          </font>
          <fill>
            <patternFill>
              <bgColor theme="7" tint="0.79998168889431442"/>
            </patternFill>
          </fill>
          <border>
            <left style="thin">
              <color auto="1"/>
            </left>
            <right style="thin">
              <color auto="1"/>
            </right>
            <top style="thin">
              <color auto="1"/>
            </top>
            <bottom style="thin">
              <color auto="1"/>
            </bottom>
          </border>
        </dxf>
        <dxf>
          <font>
            <b/>
            <i val="0"/>
            <sz val="10"/>
            <name val="Calibri"/>
            <family val="2"/>
            <scheme val="minor"/>
          </font>
          <fill>
            <patternFill>
              <bgColor rgb="FFFFC000"/>
            </patternFill>
          </fill>
          <border>
            <left style="thin">
              <color auto="1"/>
            </left>
            <right style="thin">
              <color auto="1"/>
            </right>
            <top style="thin">
              <color auto="1"/>
            </top>
            <bottom style="thin">
              <color auto="1"/>
            </bottom>
          </border>
        </dxf>
        <dxf>
          <font>
            <b/>
            <i val="0"/>
            <sz val="10"/>
            <color theme="1"/>
            <name val="Calibri"/>
            <family val="2"/>
            <scheme val="minor"/>
          </font>
          <fill>
            <patternFill>
              <bgColor theme="7"/>
            </patternFill>
          </fill>
          <border>
            <left style="thin">
              <color auto="1"/>
            </left>
            <right style="thin">
              <color auto="1"/>
            </right>
            <top style="thin">
              <color auto="1"/>
            </top>
            <bottom style="thin">
              <color auto="1"/>
            </bottom>
          </border>
        </dxf>
        <dxf>
          <font>
            <b/>
            <i val="0"/>
            <sz val="10"/>
            <name val="Calibri"/>
            <family val="2"/>
            <scheme val="minor"/>
          </font>
          <fill>
            <patternFill>
              <bgColor theme="7" tint="0.79998168889431442"/>
            </patternFill>
          </fill>
          <border>
            <left style="thin">
              <color auto="1"/>
            </left>
            <right style="thin">
              <color auto="1"/>
            </right>
            <top style="thin">
              <color auto="1"/>
            </top>
            <bottom style="thin">
              <color auto="1"/>
            </bottom>
          </border>
        </dxf>
        <dxf>
          <fill>
            <patternFill>
              <bgColor theme="7" tint="0.79998168889431442"/>
            </patternFill>
          </fill>
          <border>
            <left style="thin">
              <color auto="1"/>
            </left>
            <right style="thin">
              <color auto="1"/>
            </right>
            <top style="thin">
              <color auto="1"/>
            </top>
            <bottom style="thin">
              <color auto="1"/>
            </bottom>
          </border>
        </dxf>
        <dxf>
          <fill>
            <patternFill>
              <bgColor theme="7" tint="0.39994506668294322"/>
            </patternFill>
          </fill>
          <border>
            <left style="thin">
              <color auto="1"/>
            </left>
            <right style="thin">
              <color auto="1"/>
            </right>
            <top style="thin">
              <color auto="1"/>
            </top>
            <bottom style="thin">
              <color auto="1"/>
            </bottom>
          </border>
        </dxf>
        <dxf>
          <fill>
            <patternFill>
              <bgColor theme="7" tint="0.39994506668294322"/>
            </patternFill>
          </fill>
          <border>
            <left style="thin">
              <color auto="1"/>
            </left>
            <right style="thin">
              <color auto="1"/>
            </right>
            <top style="thin">
              <color auto="1"/>
            </top>
            <bottom style="thin">
              <color auto="1"/>
            </bottom>
          </border>
        </dxf>
        <dxf>
          <fill>
            <patternFill>
              <bgColor rgb="FFFFE36D"/>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Tables!PivotTable5</c:name>
    <c:fmtId val="12"/>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sz="1200" b="1">
                <a:solidFill>
                  <a:schemeClr val="tx1">
                    <a:lumMod val="65000"/>
                    <a:lumOff val="35000"/>
                  </a:schemeClr>
                </a:solidFill>
              </a:rPr>
              <a:t>FAT CONTENT</a:t>
            </a:r>
          </a:p>
        </c:rich>
      </c:tx>
      <c:layout>
        <c:manualLayout>
          <c:xMode val="edge"/>
          <c:yMode val="edge"/>
          <c:x val="2.4999070583599146E-2"/>
          <c:y val="1.61007542041434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w="19050">
            <a:noFill/>
          </a:ln>
          <a:effectLst>
            <a:outerShdw blurRad="63500" sx="102000" sy="102000" algn="ctr" rotWithShape="0">
              <a:prstClr val="black">
                <a:alpha val="40000"/>
              </a:prstClr>
            </a:outerShdw>
          </a:effectLst>
        </c:spPr>
        <c:dLbl>
          <c:idx val="0"/>
          <c:layout>
            <c:manualLayout>
              <c:x val="-5.8224630430043197E-3"/>
              <c:y val="1.13223208923703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0" scaled="1"/>
            <a:tileRect/>
          </a:gradFill>
          <a:ln w="19050">
            <a:noFill/>
          </a:ln>
          <a:effectLst>
            <a:outerShdw blurRad="63500" sx="102000" sy="102000" algn="ctr" rotWithShape="0">
              <a:prstClr val="black">
                <a:alpha val="40000"/>
              </a:prstClr>
            </a:outerShdw>
          </a:effectLst>
        </c:spPr>
        <c:dLbl>
          <c:idx val="0"/>
          <c:layout>
            <c:manualLayout>
              <c:x val="5.6630304587177889E-3"/>
              <c:y val="1.30401107602398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92428602232087"/>
          <c:y val="6.2695423941572528E-2"/>
          <c:w val="0.60425189415062486"/>
          <c:h val="0.84308663492162284"/>
        </c:manualLayout>
      </c:layout>
      <c:barChart>
        <c:barDir val="bar"/>
        <c:grouping val="clustered"/>
        <c:varyColors val="0"/>
        <c:ser>
          <c:idx val="0"/>
          <c:order val="0"/>
          <c:tx>
            <c:strRef>
              <c:f>'Pivot Tables'!$J$2</c:f>
              <c:strCache>
                <c:ptCount val="1"/>
                <c:pt idx="0">
                  <c:v>Total</c:v>
                </c:pt>
              </c:strCache>
            </c:strRef>
          </c:tx>
          <c:spPr>
            <a:solidFill>
              <a:schemeClr val="accent1"/>
            </a:solidFill>
            <a:ln w="19050">
              <a:noFill/>
            </a:ln>
            <a:effectLst>
              <a:outerShdw blurRad="63500" sx="102000" sy="102000" algn="ctr" rotWithShape="0">
                <a:prstClr val="black">
                  <a:alpha val="40000"/>
                </a:prstClr>
              </a:outerShdw>
            </a:effectLst>
          </c:spPr>
          <c:invertIfNegative val="0"/>
          <c:dPt>
            <c:idx val="0"/>
            <c:invertIfNegative val="0"/>
            <c:bubble3D val="0"/>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1EA1-4035-896F-681CD9A352C6}"/>
              </c:ext>
            </c:extLst>
          </c:dPt>
          <c:dPt>
            <c:idx val="1"/>
            <c:invertIfNegative val="0"/>
            <c:bubble3D val="0"/>
            <c:explosion val="2"/>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0" scaled="1"/>
                <a:tileRect/>
              </a:gra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1EA1-4035-896F-681CD9A352C6}"/>
              </c:ext>
            </c:extLst>
          </c:dPt>
          <c:dLbls>
            <c:dLbl>
              <c:idx val="0"/>
              <c:layout>
                <c:manualLayout>
                  <c:x val="-5.8224630430043197E-3"/>
                  <c:y val="1.13223208923703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A1-4035-896F-681CD9A352C6}"/>
                </c:ext>
              </c:extLst>
            </c:dLbl>
            <c:dLbl>
              <c:idx val="1"/>
              <c:layout>
                <c:manualLayout>
                  <c:x val="5.6630304587177889E-3"/>
                  <c:y val="1.3040110760239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A1-4035-896F-681CD9A352C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Tables'!$I$3:$I$5</c:f>
              <c:strCache>
                <c:ptCount val="2"/>
                <c:pt idx="0">
                  <c:v>Low Fat</c:v>
                </c:pt>
                <c:pt idx="1">
                  <c:v>Regular</c:v>
                </c:pt>
              </c:strCache>
            </c:strRef>
          </c:cat>
          <c:val>
            <c:numRef>
              <c:f>'Pivot Tables'!$J$3:$J$5</c:f>
              <c:numCache>
                <c:formatCode>\$0.0,"K"</c:formatCode>
                <c:ptCount val="2"/>
                <c:pt idx="0">
                  <c:v>776319.68840000057</c:v>
                </c:pt>
                <c:pt idx="1">
                  <c:v>425361.8043999995</c:v>
                </c:pt>
              </c:numCache>
            </c:numRef>
          </c:val>
          <c:extLst>
            <c:ext xmlns:c16="http://schemas.microsoft.com/office/drawing/2014/chart" uri="{C3380CC4-5D6E-409C-BE32-E72D297353CC}">
              <c16:uniqueId val="{00000004-1EA1-4035-896F-681CD9A352C6}"/>
            </c:ext>
          </c:extLst>
        </c:ser>
        <c:dLbls>
          <c:showLegendKey val="0"/>
          <c:showVal val="0"/>
          <c:showCatName val="0"/>
          <c:showSerName val="0"/>
          <c:showPercent val="0"/>
          <c:showBubbleSize val="0"/>
        </c:dLbls>
        <c:gapWidth val="100"/>
        <c:axId val="80536927"/>
        <c:axId val="80528287"/>
      </c:barChart>
      <c:valAx>
        <c:axId val="80528287"/>
        <c:scaling>
          <c:orientation val="minMax"/>
        </c:scaling>
        <c:delete val="1"/>
        <c:axPos val="b"/>
        <c:numFmt formatCode="\$0.0,&quot;K&quot;" sourceLinked="1"/>
        <c:majorTickMark val="out"/>
        <c:minorTickMark val="none"/>
        <c:tickLblPos val="nextTo"/>
        <c:crossAx val="80536927"/>
        <c:crosses val="autoZero"/>
        <c:crossBetween val="between"/>
      </c:valAx>
      <c:catAx>
        <c:axId val="805369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0528287"/>
        <c:crosses val="autoZero"/>
        <c:auto val="1"/>
        <c:lblAlgn val="ctr"/>
        <c:lblOffset val="100"/>
        <c:noMultiLvlLbl val="0"/>
      </c:catAx>
      <c:spPr>
        <a:noFill/>
        <a:ln>
          <a:noFill/>
        </a:ln>
        <a:effectLst/>
      </c:spPr>
    </c:plotArea>
    <c:legend>
      <c:legendPos val="b"/>
      <c:layout>
        <c:manualLayout>
          <c:xMode val="edge"/>
          <c:yMode val="edge"/>
          <c:x val="0.25168298721866567"/>
          <c:y val="0.88087672341352585"/>
          <c:w val="0.4893034550945245"/>
          <c:h val="0.1191233297663952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lumMod val="65000"/>
                    <a:lumOff val="35000"/>
                  </a:schemeClr>
                </a:solidFill>
              </a:rPr>
              <a:t>FAT</a:t>
            </a:r>
            <a:r>
              <a:rPr lang="en-IN" sz="1200" b="1" baseline="0">
                <a:solidFill>
                  <a:schemeClr val="tx1">
                    <a:lumMod val="65000"/>
                    <a:lumOff val="35000"/>
                  </a:schemeClr>
                </a:solidFill>
              </a:rPr>
              <a:t> BY OUTLET</a:t>
            </a:r>
            <a:endParaRPr lang="en-IN" sz="1200" b="1">
              <a:solidFill>
                <a:schemeClr val="tx1">
                  <a:lumMod val="65000"/>
                  <a:lumOff val="35000"/>
                </a:schemeClr>
              </a:solidFill>
            </a:endParaRPr>
          </a:p>
        </c:rich>
      </c:tx>
      <c:layout>
        <c:manualLayout>
          <c:xMode val="edge"/>
          <c:yMode val="edge"/>
          <c:x val="3.0294396961063605E-2"/>
          <c:y val="3.74531835205992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0" scaled="1"/>
            <a:tileRect/>
          </a:gra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0" scaled="1"/>
            <a:tileRect/>
          </a:gradFill>
          <a:ln>
            <a:noFill/>
          </a:ln>
          <a:effectLst>
            <a:outerShdw blurRad="63500" sx="102000" sy="102000" algn="ctr" rotWithShape="0">
              <a:prstClr val="black">
                <a:alpha val="40000"/>
              </a:prstClr>
            </a:outerShdw>
          </a:effectLst>
        </c:spPr>
      </c:pivotFmt>
    </c:pivotFmts>
    <c:plotArea>
      <c:layout/>
      <c:barChart>
        <c:barDir val="bar"/>
        <c:grouping val="clustered"/>
        <c:varyColors val="0"/>
        <c:ser>
          <c:idx val="0"/>
          <c:order val="0"/>
          <c:tx>
            <c:strRef>
              <c:f>'Pivot Tables'!$AC$2:$AC$3</c:f>
              <c:strCache>
                <c:ptCount val="1"/>
                <c:pt idx="0">
                  <c:v>Low Fat</c:v>
                </c:pt>
              </c:strCache>
            </c:strRef>
          </c:tx>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a:noFill/>
            </a:ln>
            <a:effectLst>
              <a:outerShdw blurRad="63500" sx="102000" sy="102000" algn="c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Tables'!$AB$4:$AB$7</c:f>
              <c:strCache>
                <c:ptCount val="3"/>
                <c:pt idx="0">
                  <c:v>Tier 1</c:v>
                </c:pt>
                <c:pt idx="1">
                  <c:v>Tier 2</c:v>
                </c:pt>
                <c:pt idx="2">
                  <c:v>Tier 3</c:v>
                </c:pt>
              </c:strCache>
            </c:strRef>
          </c:cat>
          <c:val>
            <c:numRef>
              <c:f>'Pivot Tables'!$AC$4:$AC$7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AFD3-4B45-9FDC-636AA6F49FA5}"/>
            </c:ext>
          </c:extLst>
        </c:ser>
        <c:ser>
          <c:idx val="1"/>
          <c:order val="1"/>
          <c:tx>
            <c:strRef>
              <c:f>'Pivot Tables'!$AD$2:$AD$3</c:f>
              <c:strCache>
                <c:ptCount val="1"/>
                <c:pt idx="0">
                  <c:v>Regular</c:v>
                </c:pt>
              </c:strCache>
            </c:strRef>
          </c:tx>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0" scaled="1"/>
              <a:tileRect/>
            </a:gradFill>
            <a:ln>
              <a:noFill/>
            </a:ln>
            <a:effectLst>
              <a:outerShdw blurRad="63500" sx="102000" sy="102000" algn="c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Tables'!$AB$4:$AB$7</c:f>
              <c:strCache>
                <c:ptCount val="3"/>
                <c:pt idx="0">
                  <c:v>Tier 1</c:v>
                </c:pt>
                <c:pt idx="1">
                  <c:v>Tier 2</c:v>
                </c:pt>
                <c:pt idx="2">
                  <c:v>Tier 3</c:v>
                </c:pt>
              </c:strCache>
            </c:strRef>
          </c:cat>
          <c:val>
            <c:numRef>
              <c:f>'Pivot Tables'!$AD$4:$AD$7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2-E61D-49FE-8D7C-776FDE265B79}"/>
            </c:ext>
          </c:extLst>
        </c:ser>
        <c:dLbls>
          <c:dLblPos val="outEnd"/>
          <c:showLegendKey val="0"/>
          <c:showVal val="1"/>
          <c:showCatName val="0"/>
          <c:showSerName val="0"/>
          <c:showPercent val="0"/>
          <c:showBubbleSize val="0"/>
        </c:dLbls>
        <c:gapWidth val="50"/>
        <c:axId val="453455759"/>
        <c:axId val="453452399"/>
      </c:barChart>
      <c:catAx>
        <c:axId val="453455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53452399"/>
        <c:crosses val="autoZero"/>
        <c:auto val="1"/>
        <c:lblAlgn val="ctr"/>
        <c:lblOffset val="100"/>
        <c:noMultiLvlLbl val="0"/>
      </c:catAx>
      <c:valAx>
        <c:axId val="453452399"/>
        <c:scaling>
          <c:orientation val="minMax"/>
        </c:scaling>
        <c:delete val="1"/>
        <c:axPos val="b"/>
        <c:numFmt formatCode="\$0.0,&quot;K&quot;" sourceLinked="1"/>
        <c:majorTickMark val="none"/>
        <c:minorTickMark val="none"/>
        <c:tickLblPos val="nextTo"/>
        <c:crossAx val="453455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lumMod val="65000"/>
                    <a:lumOff val="35000"/>
                  </a:schemeClr>
                </a:solidFill>
              </a:rPr>
              <a:t>OUTLET ESTABLISHMENT</a:t>
            </a:r>
          </a:p>
        </c:rich>
      </c:tx>
      <c:layout>
        <c:manualLayout>
          <c:xMode val="edge"/>
          <c:yMode val="edge"/>
          <c:x val="1.7409740275308859E-2"/>
          <c:y val="8.0287676266495875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circle"/>
          <c:size val="5"/>
          <c:spPr>
            <a:solidFill>
              <a:schemeClr val="tx1">
                <a:lumMod val="65000"/>
                <a:lumOff val="35000"/>
              </a:schemeClr>
            </a:solidFill>
            <a:ln w="1905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75000"/>
              </a:schemeClr>
            </a:solidFill>
            <a:round/>
          </a:ln>
          <a:effectLst/>
        </c:spPr>
        <c:marker>
          <c:symbol val="circle"/>
          <c:size val="5"/>
          <c:spPr>
            <a:solidFill>
              <a:schemeClr val="tx1">
                <a:lumMod val="65000"/>
                <a:lumOff val="35000"/>
              </a:schemeClr>
            </a:solidFill>
            <a:ln w="19050">
              <a:noFill/>
            </a:ln>
            <a:effectLst/>
          </c:spPr>
        </c:marker>
        <c:dLbl>
          <c:idx val="0"/>
          <c:layout>
            <c:manualLayout>
              <c:x val="-5.9515032726749621E-2"/>
              <c:y val="-0.119058871257224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75000"/>
              </a:schemeClr>
            </a:solidFill>
            <a:round/>
          </a:ln>
          <a:effectLst/>
        </c:spPr>
        <c:marker>
          <c:symbol val="circle"/>
          <c:size val="5"/>
          <c:spPr>
            <a:solidFill>
              <a:schemeClr val="tx1">
                <a:lumMod val="65000"/>
                <a:lumOff val="35000"/>
              </a:schemeClr>
            </a:solidFill>
            <a:ln w="19050">
              <a:noFill/>
            </a:ln>
            <a:effectLst/>
          </c:spPr>
        </c:marker>
        <c:dLbl>
          <c:idx val="0"/>
          <c:layout>
            <c:manualLayout>
              <c:x val="-6.2470244517284723E-2"/>
              <c:y val="-7.38598831368267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75000"/>
              </a:schemeClr>
            </a:solidFill>
            <a:round/>
          </a:ln>
          <a:effectLst/>
        </c:spPr>
        <c:marker>
          <c:symbol val="circle"/>
          <c:size val="5"/>
          <c:spPr>
            <a:solidFill>
              <a:schemeClr val="tx1">
                <a:lumMod val="65000"/>
                <a:lumOff val="35000"/>
              </a:schemeClr>
            </a:solidFill>
            <a:ln w="19050">
              <a:noFill/>
            </a:ln>
            <a:effectLst/>
          </c:spPr>
        </c:marker>
        <c:dLbl>
          <c:idx val="0"/>
          <c:layout>
            <c:manualLayout>
              <c:x val="-5.4373328127194198E-2"/>
              <c:y val="-7.38598831368267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lumMod val="75000"/>
              </a:schemeClr>
            </a:solidFill>
            <a:round/>
          </a:ln>
          <a:effectLst/>
        </c:spPr>
        <c:marker>
          <c:symbol val="circle"/>
          <c:size val="5"/>
          <c:spPr>
            <a:solidFill>
              <a:schemeClr val="tx1">
                <a:lumMod val="65000"/>
                <a:lumOff val="35000"/>
              </a:schemeClr>
            </a:solidFill>
            <a:ln w="19050">
              <a:noFill/>
            </a:ln>
            <a:effectLst/>
          </c:spPr>
        </c:marker>
        <c:dLbl>
          <c:idx val="0"/>
          <c:layout>
            <c:manualLayout>
              <c:x val="-5.6855449149378519E-2"/>
              <c:y val="-8.06036231406924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lumMod val="75000"/>
              </a:schemeClr>
            </a:solidFill>
            <a:round/>
          </a:ln>
          <a:effectLst/>
        </c:spPr>
        <c:marker>
          <c:symbol val="circle"/>
          <c:size val="5"/>
          <c:spPr>
            <a:solidFill>
              <a:schemeClr val="tx1">
                <a:lumMod val="65000"/>
                <a:lumOff val="35000"/>
              </a:schemeClr>
            </a:solidFill>
            <a:ln w="19050">
              <a:noFill/>
            </a:ln>
            <a:effectLst/>
          </c:spPr>
        </c:marker>
        <c:dLbl>
          <c:idx val="0"/>
          <c:layout>
            <c:manualLayout>
              <c:x val="-6.2352078859307616E-2"/>
              <c:y val="-7.59738066766211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lumMod val="75000"/>
              </a:schemeClr>
            </a:solidFill>
            <a:round/>
          </a:ln>
          <a:effectLst/>
        </c:spPr>
        <c:marker>
          <c:symbol val="circle"/>
          <c:size val="5"/>
          <c:spPr>
            <a:solidFill>
              <a:schemeClr val="tx1">
                <a:lumMod val="65000"/>
                <a:lumOff val="35000"/>
              </a:schemeClr>
            </a:solidFill>
            <a:ln w="19050">
              <a:noFill/>
            </a:ln>
            <a:effectLst/>
          </c:spPr>
        </c:marker>
        <c:dLbl>
          <c:idx val="0"/>
          <c:layout>
            <c:manualLayout>
              <c:x val="-7.6122659378071875E-2"/>
              <c:y val="-8.94612866843526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75000"/>
              </a:schemeClr>
            </a:solidFill>
            <a:round/>
          </a:ln>
          <a:effectLst/>
        </c:spPr>
        <c:marker>
          <c:symbol val="circle"/>
          <c:size val="5"/>
          <c:spPr>
            <a:solidFill>
              <a:schemeClr val="tx1">
                <a:lumMod val="65000"/>
                <a:lumOff val="35000"/>
              </a:schemeClr>
            </a:solidFill>
            <a:ln w="19050">
              <a:noFill/>
            </a:ln>
            <a:effectLst/>
          </c:spPr>
        </c:marker>
        <c:dLbl>
          <c:idx val="0"/>
          <c:layout>
            <c:manualLayout>
              <c:x val="-6.5247993752633043E-2"/>
              <c:y val="-5.00300547782849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lumMod val="75000"/>
              </a:schemeClr>
            </a:solidFill>
            <a:round/>
          </a:ln>
          <a:effectLst/>
        </c:spPr>
        <c:marker>
          <c:symbol val="circle"/>
          <c:size val="5"/>
          <c:spPr>
            <a:solidFill>
              <a:schemeClr val="tx1">
                <a:lumMod val="65000"/>
                <a:lumOff val="35000"/>
              </a:schemeClr>
            </a:solidFill>
            <a:ln w="19050">
              <a:noFill/>
            </a:ln>
            <a:effectLst/>
          </c:spPr>
        </c:marker>
        <c:dLbl>
          <c:idx val="0"/>
          <c:layout>
            <c:manualLayout>
              <c:x val="-4.9113243801440692E-2"/>
              <c:y val="-7.84896996008980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lumMod val="75000"/>
              </a:schemeClr>
            </a:solidFill>
            <a:round/>
          </a:ln>
          <a:effectLst/>
        </c:spPr>
        <c:marker>
          <c:symbol val="circle"/>
          <c:size val="5"/>
          <c:spPr>
            <a:solidFill>
              <a:schemeClr val="tx1">
                <a:lumMod val="65000"/>
                <a:lumOff val="35000"/>
              </a:schemeClr>
            </a:solidFill>
            <a:ln w="19050">
              <a:noFill/>
            </a:ln>
            <a:effectLst/>
          </c:spPr>
        </c:marker>
        <c:dLbl>
          <c:idx val="0"/>
          <c:layout>
            <c:manualLayout>
              <c:x val="-3.5342663282676129E-2"/>
              <c:y val="-7.84896996008980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235849369441687E-2"/>
          <c:y val="0.13161603374631217"/>
          <c:w val="0.91260241611863957"/>
          <c:h val="0.71389815784387234"/>
        </c:manualLayout>
      </c:layout>
      <c:lineChart>
        <c:grouping val="standard"/>
        <c:varyColors val="0"/>
        <c:ser>
          <c:idx val="0"/>
          <c:order val="0"/>
          <c:tx>
            <c:strRef>
              <c:f>'Pivot Tables'!$W$2</c:f>
              <c:strCache>
                <c:ptCount val="1"/>
                <c:pt idx="0">
                  <c:v>Total</c:v>
                </c:pt>
              </c:strCache>
            </c:strRef>
          </c:tx>
          <c:spPr>
            <a:ln w="28575" cap="rnd">
              <a:solidFill>
                <a:schemeClr val="accent6">
                  <a:lumMod val="75000"/>
                </a:schemeClr>
              </a:solidFill>
              <a:round/>
            </a:ln>
            <a:effectLst/>
          </c:spPr>
          <c:marker>
            <c:symbol val="circle"/>
            <c:size val="5"/>
            <c:spPr>
              <a:solidFill>
                <a:schemeClr val="tx1">
                  <a:lumMod val="65000"/>
                  <a:lumOff val="35000"/>
                </a:schemeClr>
              </a:solidFill>
              <a:ln w="19050">
                <a:noFill/>
              </a:ln>
              <a:effectLst/>
            </c:spPr>
          </c:marker>
          <c:dPt>
            <c:idx val="0"/>
            <c:marker>
              <c:symbol val="circle"/>
              <c:size val="5"/>
              <c:spPr>
                <a:solidFill>
                  <a:schemeClr val="tx1">
                    <a:lumMod val="65000"/>
                    <a:lumOff val="35000"/>
                  </a:schemeClr>
                </a:solidFill>
                <a:ln w="19050">
                  <a:noFill/>
                </a:ln>
                <a:effectLst/>
              </c:spPr>
            </c:marker>
            <c:bubble3D val="0"/>
            <c:spPr>
              <a:ln w="28575" cap="rnd">
                <a:solidFill>
                  <a:schemeClr val="accent6">
                    <a:lumMod val="75000"/>
                  </a:schemeClr>
                </a:solidFill>
                <a:round/>
              </a:ln>
              <a:effectLst/>
            </c:spPr>
            <c:extLst>
              <c:ext xmlns:c16="http://schemas.microsoft.com/office/drawing/2014/chart" uri="{C3380CC4-5D6E-409C-BE32-E72D297353CC}">
                <c16:uniqueId val="{00000001-C8EC-446E-AEA0-6343FA174E8A}"/>
              </c:ext>
            </c:extLst>
          </c:dPt>
          <c:dPt>
            <c:idx val="1"/>
            <c:marker>
              <c:symbol val="circle"/>
              <c:size val="5"/>
              <c:spPr>
                <a:solidFill>
                  <a:schemeClr val="tx1">
                    <a:lumMod val="65000"/>
                    <a:lumOff val="35000"/>
                  </a:schemeClr>
                </a:solidFill>
                <a:ln w="19050">
                  <a:noFill/>
                </a:ln>
                <a:effectLst/>
              </c:spPr>
            </c:marker>
            <c:bubble3D val="0"/>
            <c:spPr>
              <a:ln w="28575" cap="rnd">
                <a:solidFill>
                  <a:schemeClr val="accent6">
                    <a:lumMod val="75000"/>
                  </a:schemeClr>
                </a:solidFill>
                <a:round/>
              </a:ln>
              <a:effectLst/>
            </c:spPr>
            <c:extLst>
              <c:ext xmlns:c16="http://schemas.microsoft.com/office/drawing/2014/chart" uri="{C3380CC4-5D6E-409C-BE32-E72D297353CC}">
                <c16:uniqueId val="{00000002-C8EC-446E-AEA0-6343FA174E8A}"/>
              </c:ext>
            </c:extLst>
          </c:dPt>
          <c:dPt>
            <c:idx val="2"/>
            <c:marker>
              <c:symbol val="circle"/>
              <c:size val="5"/>
              <c:spPr>
                <a:solidFill>
                  <a:schemeClr val="tx1">
                    <a:lumMod val="65000"/>
                    <a:lumOff val="35000"/>
                  </a:schemeClr>
                </a:solidFill>
                <a:ln w="19050">
                  <a:noFill/>
                </a:ln>
                <a:effectLst/>
              </c:spPr>
            </c:marker>
            <c:bubble3D val="0"/>
            <c:spPr>
              <a:ln w="28575" cap="rnd">
                <a:solidFill>
                  <a:schemeClr val="accent6">
                    <a:lumMod val="75000"/>
                  </a:schemeClr>
                </a:solidFill>
                <a:round/>
              </a:ln>
              <a:effectLst/>
            </c:spPr>
            <c:extLst>
              <c:ext xmlns:c16="http://schemas.microsoft.com/office/drawing/2014/chart" uri="{C3380CC4-5D6E-409C-BE32-E72D297353CC}">
                <c16:uniqueId val="{00000003-C8EC-446E-AEA0-6343FA174E8A}"/>
              </c:ext>
            </c:extLst>
          </c:dPt>
          <c:dPt>
            <c:idx val="3"/>
            <c:marker>
              <c:symbol val="circle"/>
              <c:size val="5"/>
              <c:spPr>
                <a:solidFill>
                  <a:schemeClr val="tx1">
                    <a:lumMod val="65000"/>
                    <a:lumOff val="35000"/>
                  </a:schemeClr>
                </a:solidFill>
                <a:ln w="19050">
                  <a:noFill/>
                </a:ln>
                <a:effectLst/>
              </c:spPr>
            </c:marker>
            <c:bubble3D val="0"/>
            <c:spPr>
              <a:ln w="28575" cap="rnd">
                <a:solidFill>
                  <a:schemeClr val="accent6">
                    <a:lumMod val="75000"/>
                  </a:schemeClr>
                </a:solidFill>
                <a:round/>
              </a:ln>
              <a:effectLst/>
            </c:spPr>
            <c:extLst>
              <c:ext xmlns:c16="http://schemas.microsoft.com/office/drawing/2014/chart" uri="{C3380CC4-5D6E-409C-BE32-E72D297353CC}">
                <c16:uniqueId val="{00000004-C8EC-446E-AEA0-6343FA174E8A}"/>
              </c:ext>
            </c:extLst>
          </c:dPt>
          <c:dPt>
            <c:idx val="4"/>
            <c:marker>
              <c:symbol val="circle"/>
              <c:size val="5"/>
              <c:spPr>
                <a:solidFill>
                  <a:schemeClr val="tx1">
                    <a:lumMod val="65000"/>
                    <a:lumOff val="35000"/>
                  </a:schemeClr>
                </a:solidFill>
                <a:ln w="19050">
                  <a:noFill/>
                </a:ln>
                <a:effectLst/>
              </c:spPr>
            </c:marker>
            <c:bubble3D val="0"/>
            <c:spPr>
              <a:ln w="28575" cap="rnd">
                <a:solidFill>
                  <a:schemeClr val="accent6">
                    <a:lumMod val="75000"/>
                  </a:schemeClr>
                </a:solidFill>
                <a:round/>
              </a:ln>
              <a:effectLst/>
            </c:spPr>
            <c:extLst>
              <c:ext xmlns:c16="http://schemas.microsoft.com/office/drawing/2014/chart" uri="{C3380CC4-5D6E-409C-BE32-E72D297353CC}">
                <c16:uniqueId val="{00000005-C8EC-446E-AEA0-6343FA174E8A}"/>
              </c:ext>
            </c:extLst>
          </c:dPt>
          <c:dPt>
            <c:idx val="5"/>
            <c:marker>
              <c:symbol val="circle"/>
              <c:size val="5"/>
              <c:spPr>
                <a:solidFill>
                  <a:schemeClr val="tx1">
                    <a:lumMod val="65000"/>
                    <a:lumOff val="35000"/>
                  </a:schemeClr>
                </a:solidFill>
                <a:ln w="19050">
                  <a:noFill/>
                </a:ln>
                <a:effectLst/>
              </c:spPr>
            </c:marker>
            <c:bubble3D val="0"/>
            <c:spPr>
              <a:ln w="28575" cap="rnd">
                <a:solidFill>
                  <a:schemeClr val="accent6">
                    <a:lumMod val="75000"/>
                  </a:schemeClr>
                </a:solidFill>
                <a:round/>
              </a:ln>
              <a:effectLst/>
            </c:spPr>
            <c:extLst>
              <c:ext xmlns:c16="http://schemas.microsoft.com/office/drawing/2014/chart" uri="{C3380CC4-5D6E-409C-BE32-E72D297353CC}">
                <c16:uniqueId val="{00000006-C8EC-446E-AEA0-6343FA174E8A}"/>
              </c:ext>
            </c:extLst>
          </c:dPt>
          <c:dPt>
            <c:idx val="6"/>
            <c:marker>
              <c:symbol val="circle"/>
              <c:size val="5"/>
              <c:spPr>
                <a:solidFill>
                  <a:schemeClr val="tx1">
                    <a:lumMod val="65000"/>
                    <a:lumOff val="35000"/>
                  </a:schemeClr>
                </a:solidFill>
                <a:ln w="19050">
                  <a:noFill/>
                </a:ln>
                <a:effectLst/>
              </c:spPr>
            </c:marker>
            <c:bubble3D val="0"/>
            <c:spPr>
              <a:ln w="28575" cap="rnd">
                <a:solidFill>
                  <a:schemeClr val="accent6">
                    <a:lumMod val="75000"/>
                  </a:schemeClr>
                </a:solidFill>
                <a:round/>
              </a:ln>
              <a:effectLst/>
            </c:spPr>
            <c:extLst>
              <c:ext xmlns:c16="http://schemas.microsoft.com/office/drawing/2014/chart" uri="{C3380CC4-5D6E-409C-BE32-E72D297353CC}">
                <c16:uniqueId val="{00000007-C8EC-446E-AEA0-6343FA174E8A}"/>
              </c:ext>
            </c:extLst>
          </c:dPt>
          <c:dPt>
            <c:idx val="7"/>
            <c:marker>
              <c:symbol val="circle"/>
              <c:size val="5"/>
              <c:spPr>
                <a:solidFill>
                  <a:schemeClr val="tx1">
                    <a:lumMod val="65000"/>
                    <a:lumOff val="35000"/>
                  </a:schemeClr>
                </a:solidFill>
                <a:ln w="19050">
                  <a:noFill/>
                </a:ln>
                <a:effectLst/>
              </c:spPr>
            </c:marker>
            <c:bubble3D val="0"/>
            <c:spPr>
              <a:ln w="28575" cap="rnd">
                <a:solidFill>
                  <a:schemeClr val="accent6">
                    <a:lumMod val="75000"/>
                  </a:schemeClr>
                </a:solidFill>
                <a:round/>
              </a:ln>
              <a:effectLst/>
            </c:spPr>
            <c:extLst>
              <c:ext xmlns:c16="http://schemas.microsoft.com/office/drawing/2014/chart" uri="{C3380CC4-5D6E-409C-BE32-E72D297353CC}">
                <c16:uniqueId val="{00000008-C8EC-446E-AEA0-6343FA174E8A}"/>
              </c:ext>
            </c:extLst>
          </c:dPt>
          <c:dPt>
            <c:idx val="8"/>
            <c:marker>
              <c:symbol val="circle"/>
              <c:size val="5"/>
              <c:spPr>
                <a:solidFill>
                  <a:schemeClr val="tx1">
                    <a:lumMod val="65000"/>
                    <a:lumOff val="35000"/>
                  </a:schemeClr>
                </a:solidFill>
                <a:ln w="19050">
                  <a:noFill/>
                </a:ln>
                <a:effectLst/>
              </c:spPr>
            </c:marker>
            <c:bubble3D val="0"/>
            <c:spPr>
              <a:ln w="28575" cap="rnd">
                <a:solidFill>
                  <a:schemeClr val="accent6">
                    <a:lumMod val="75000"/>
                  </a:schemeClr>
                </a:solidFill>
                <a:round/>
              </a:ln>
              <a:effectLst/>
            </c:spPr>
            <c:extLst>
              <c:ext xmlns:c16="http://schemas.microsoft.com/office/drawing/2014/chart" uri="{C3380CC4-5D6E-409C-BE32-E72D297353CC}">
                <c16:uniqueId val="{00000009-C8EC-446E-AEA0-6343FA174E8A}"/>
              </c:ext>
            </c:extLst>
          </c:dPt>
          <c:dLbls>
            <c:dLbl>
              <c:idx val="0"/>
              <c:layout>
                <c:manualLayout>
                  <c:x val="-5.9515032726749621E-2"/>
                  <c:y val="-0.119058871257224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EC-446E-AEA0-6343FA174E8A}"/>
                </c:ext>
              </c:extLst>
            </c:dLbl>
            <c:dLbl>
              <c:idx val="1"/>
              <c:layout>
                <c:manualLayout>
                  <c:x val="-6.2470244517284723E-2"/>
                  <c:y val="-7.38598831368267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EC-446E-AEA0-6343FA174E8A}"/>
                </c:ext>
              </c:extLst>
            </c:dLbl>
            <c:dLbl>
              <c:idx val="2"/>
              <c:layout>
                <c:manualLayout>
                  <c:x val="-5.4373328127194198E-2"/>
                  <c:y val="-7.38598831368267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EC-446E-AEA0-6343FA174E8A}"/>
                </c:ext>
              </c:extLst>
            </c:dLbl>
            <c:dLbl>
              <c:idx val="3"/>
              <c:layout>
                <c:manualLayout>
                  <c:x val="-5.6855449149378519E-2"/>
                  <c:y val="-8.06036231406924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8EC-446E-AEA0-6343FA174E8A}"/>
                </c:ext>
              </c:extLst>
            </c:dLbl>
            <c:dLbl>
              <c:idx val="4"/>
              <c:layout>
                <c:manualLayout>
                  <c:x val="-6.2352078859307616E-2"/>
                  <c:y val="-7.59738066766211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EC-446E-AEA0-6343FA174E8A}"/>
                </c:ext>
              </c:extLst>
            </c:dLbl>
            <c:dLbl>
              <c:idx val="5"/>
              <c:layout>
                <c:manualLayout>
                  <c:x val="-7.6122659378071875E-2"/>
                  <c:y val="-8.94612866843526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8EC-446E-AEA0-6343FA174E8A}"/>
                </c:ext>
              </c:extLst>
            </c:dLbl>
            <c:dLbl>
              <c:idx val="6"/>
              <c:layout>
                <c:manualLayout>
                  <c:x val="-6.5247993752633043E-2"/>
                  <c:y val="-5.00300547782849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8EC-446E-AEA0-6343FA174E8A}"/>
                </c:ext>
              </c:extLst>
            </c:dLbl>
            <c:dLbl>
              <c:idx val="7"/>
              <c:layout>
                <c:manualLayout>
                  <c:x val="-4.9113243801440692E-2"/>
                  <c:y val="-7.84896996008980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8EC-446E-AEA0-6343FA174E8A}"/>
                </c:ext>
              </c:extLst>
            </c:dLbl>
            <c:dLbl>
              <c:idx val="8"/>
              <c:layout>
                <c:manualLayout>
                  <c:x val="-3.5342663282676129E-2"/>
                  <c:y val="-7.84896996008980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8EC-446E-AEA0-6343FA174E8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Tables'!$V$3:$V$12</c:f>
              <c:strCache>
                <c:ptCount val="9"/>
                <c:pt idx="0">
                  <c:v>2011</c:v>
                </c:pt>
                <c:pt idx="1">
                  <c:v>2012</c:v>
                </c:pt>
                <c:pt idx="2">
                  <c:v>2014</c:v>
                </c:pt>
                <c:pt idx="3">
                  <c:v>2015</c:v>
                </c:pt>
                <c:pt idx="4">
                  <c:v>2016</c:v>
                </c:pt>
                <c:pt idx="5">
                  <c:v>2017</c:v>
                </c:pt>
                <c:pt idx="6">
                  <c:v>2018</c:v>
                </c:pt>
                <c:pt idx="7">
                  <c:v>2020</c:v>
                </c:pt>
                <c:pt idx="8">
                  <c:v>2022</c:v>
                </c:pt>
              </c:strCache>
            </c:strRef>
          </c:cat>
          <c:val>
            <c:numRef>
              <c:f>'Pivot Tables'!$W$3:$W$12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1"/>
          <c:extLst>
            <c:ext xmlns:c16="http://schemas.microsoft.com/office/drawing/2014/chart" uri="{C3380CC4-5D6E-409C-BE32-E72D297353CC}">
              <c16:uniqueId val="{00000000-C8EC-446E-AEA0-6343FA174E8A}"/>
            </c:ext>
          </c:extLst>
        </c:ser>
        <c:dLbls>
          <c:showLegendKey val="0"/>
          <c:showVal val="0"/>
          <c:showCatName val="0"/>
          <c:showSerName val="0"/>
          <c:showPercent val="0"/>
          <c:showBubbleSize val="0"/>
        </c:dLbls>
        <c:dropLines>
          <c:spPr>
            <a:ln w="9525" cap="flat" cmpd="sng" algn="ctr">
              <a:gradFill>
                <a:gsLst>
                  <a:gs pos="18000">
                    <a:schemeClr val="accent6">
                      <a:lumMod val="50000"/>
                    </a:schemeClr>
                  </a:gs>
                  <a:gs pos="100000">
                    <a:srgbClr val="FFFF00"/>
                  </a:gs>
                  <a:gs pos="100000">
                    <a:schemeClr val="accent1">
                      <a:lumMod val="45000"/>
                      <a:lumOff val="55000"/>
                    </a:schemeClr>
                  </a:gs>
                  <a:gs pos="100000">
                    <a:schemeClr val="accent1">
                      <a:lumMod val="30000"/>
                      <a:lumOff val="70000"/>
                    </a:schemeClr>
                  </a:gs>
                </a:gsLst>
                <a:lin ang="5400000" scaled="1"/>
              </a:gradFill>
              <a:round/>
            </a:ln>
            <a:effectLst/>
          </c:spPr>
        </c:dropLines>
        <c:marker val="1"/>
        <c:smooth val="0"/>
        <c:axId val="1097162703"/>
        <c:axId val="1097147823"/>
      </c:lineChart>
      <c:catAx>
        <c:axId val="1097162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7147823"/>
        <c:crosses val="autoZero"/>
        <c:auto val="1"/>
        <c:lblAlgn val="ctr"/>
        <c:lblOffset val="100"/>
        <c:noMultiLvlLbl val="0"/>
      </c:catAx>
      <c:valAx>
        <c:axId val="1097147823"/>
        <c:scaling>
          <c:orientation val="minMax"/>
        </c:scaling>
        <c:delete val="1"/>
        <c:axPos val="l"/>
        <c:numFmt formatCode="\$0.0,&quot;K&quot;" sourceLinked="1"/>
        <c:majorTickMark val="none"/>
        <c:minorTickMark val="none"/>
        <c:tickLblPos val="nextTo"/>
        <c:crossAx val="1097162703"/>
        <c:crosses val="autoZero"/>
        <c:crossBetween val="between"/>
      </c:valAx>
      <c:spPr>
        <a:solidFill>
          <a:srgbClr val="F2F8EE"/>
        </a:solidFill>
        <a:ln>
          <a:noFill/>
        </a:ln>
        <a:effectLst>
          <a:outerShdw blurRad="63500" sx="102000" sy="102000" algn="ctr" rotWithShape="0">
            <a:prstClr val="black">
              <a:alpha val="40000"/>
            </a:prstClr>
          </a:outerShd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lumMod val="65000"/>
                    <a:lumOff val="35000"/>
                  </a:schemeClr>
                </a:solidFill>
              </a:rPr>
              <a:t>OUTLET</a:t>
            </a:r>
            <a:r>
              <a:rPr lang="en-US" sz="1200" b="1" baseline="0">
                <a:solidFill>
                  <a:schemeClr val="tx1">
                    <a:lumMod val="65000"/>
                    <a:lumOff val="35000"/>
                  </a:schemeClr>
                </a:solidFill>
              </a:rPr>
              <a:t> SIZE</a:t>
            </a:r>
            <a:endParaRPr lang="en-US" sz="1200" b="1">
              <a:solidFill>
                <a:schemeClr val="tx1">
                  <a:lumMod val="65000"/>
                  <a:lumOff val="35000"/>
                </a:schemeClr>
              </a:solidFill>
            </a:endParaRPr>
          </a:p>
        </c:rich>
      </c:tx>
      <c:layout>
        <c:manualLayout>
          <c:xMode val="edge"/>
          <c:yMode val="edge"/>
          <c:x val="1.0061316654528807E-3"/>
          <c:y val="6.735949710566318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C000"/>
          </a:solidFill>
          <a:ln w="19050">
            <a:no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6">
              <a:lumMod val="50000"/>
            </a:schemeClr>
          </a:solidFill>
          <a:ln w="19050">
            <a:noFill/>
          </a:ln>
          <a:effectLst>
            <a:outerShdw blurRad="63500" sx="102000" sy="102000" algn="ctr" rotWithShape="0">
              <a:prstClr val="black">
                <a:alpha val="40000"/>
              </a:prstClr>
            </a:outerShdw>
          </a:effectLst>
        </c:spPr>
        <c:dLbl>
          <c:idx val="0"/>
          <c:layout>
            <c:manualLayout>
              <c:x val="5.737706399304582E-3"/>
              <c:y val="-3.36797485528315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lumMod val="60000"/>
              <a:lumOff val="40000"/>
            </a:schemeClr>
          </a:solidFill>
          <a:ln w="19050">
            <a:noFill/>
          </a:ln>
          <a:effectLst>
            <a:outerShdw blurRad="63500" sx="102000" sy="102000" algn="ctr" rotWithShape="0">
              <a:prstClr val="black">
                <a:alpha val="40000"/>
              </a:prstClr>
            </a:outerShdw>
          </a:effectLst>
        </c:spPr>
        <c:dLbl>
          <c:idx val="0"/>
          <c:layout>
            <c:manualLayout>
              <c:x val="1.7213119197913823E-2"/>
              <c:y val="5.388759768453048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676731296432503"/>
          <c:y val="0.1091048824497217"/>
          <c:w val="0.62949732270487224"/>
          <c:h val="0.73901695443846049"/>
        </c:manualLayout>
      </c:layout>
      <c:doughnutChart>
        <c:varyColors val="1"/>
        <c:ser>
          <c:idx val="0"/>
          <c:order val="0"/>
          <c:tx>
            <c:strRef>
              <c:f>'Pivot Tables'!$Z$2</c:f>
              <c:strCache>
                <c:ptCount val="1"/>
                <c:pt idx="0">
                  <c:v>Total</c:v>
                </c:pt>
              </c:strCache>
            </c:strRef>
          </c:tx>
          <c:spPr>
            <a:ln>
              <a:noFill/>
            </a:ln>
            <a:effectLst>
              <a:outerShdw blurRad="63500" sx="102000" sy="102000" algn="ctr" rotWithShape="0">
                <a:prstClr val="black">
                  <a:alpha val="40000"/>
                </a:prstClr>
              </a:outerShdw>
            </a:effectLst>
          </c:spPr>
          <c:dPt>
            <c:idx val="0"/>
            <c:bubble3D val="0"/>
            <c:spPr>
              <a:solidFill>
                <a:srgbClr val="FFC000"/>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8341-44E8-AEC6-1604697994EC}"/>
              </c:ext>
            </c:extLst>
          </c:dPt>
          <c:dPt>
            <c:idx val="1"/>
            <c:bubble3D val="0"/>
            <c:spPr>
              <a:solidFill>
                <a:schemeClr val="accent6">
                  <a:lumMod val="60000"/>
                  <a:lumOff val="40000"/>
                </a:schemeClr>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8341-44E8-AEC6-1604697994EC}"/>
              </c:ext>
            </c:extLst>
          </c:dPt>
          <c:dPt>
            <c:idx val="2"/>
            <c:bubble3D val="0"/>
            <c:spPr>
              <a:solidFill>
                <a:schemeClr val="accent6">
                  <a:lumMod val="50000"/>
                </a:schemeClr>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8341-44E8-AEC6-1604697994EC}"/>
              </c:ext>
            </c:extLst>
          </c:dPt>
          <c:dLbls>
            <c:dLbl>
              <c:idx val="1"/>
              <c:layout>
                <c:manualLayout>
                  <c:x val="1.7213119197913823E-2"/>
                  <c:y val="5.388759768453048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341-44E8-AEC6-1604697994EC}"/>
                </c:ext>
              </c:extLst>
            </c:dLbl>
            <c:dLbl>
              <c:idx val="2"/>
              <c:layout>
                <c:manualLayout>
                  <c:x val="5.737706399304582E-3"/>
                  <c:y val="-3.36797485528315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341-44E8-AEC6-1604697994E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Tables'!$Y$3:$Y$6</c:f>
              <c:strCache>
                <c:ptCount val="3"/>
                <c:pt idx="0">
                  <c:v>High</c:v>
                </c:pt>
                <c:pt idx="1">
                  <c:v>Small</c:v>
                </c:pt>
                <c:pt idx="2">
                  <c:v>Medium</c:v>
                </c:pt>
              </c:strCache>
            </c:strRef>
          </c:cat>
          <c:val>
            <c:numRef>
              <c:f>'Pivot Tables'!$Z$3:$Z$6</c:f>
              <c:numCache>
                <c:formatCode>\$0.0,"K"</c:formatCode>
                <c:ptCount val="3"/>
                <c:pt idx="0">
                  <c:v>248991.58600000024</c:v>
                </c:pt>
                <c:pt idx="1">
                  <c:v>444794.17039999936</c:v>
                </c:pt>
                <c:pt idx="2">
                  <c:v>507895.7363999993</c:v>
                </c:pt>
              </c:numCache>
            </c:numRef>
          </c:val>
          <c:extLst>
            <c:ext xmlns:c16="http://schemas.microsoft.com/office/drawing/2014/chart" uri="{C3380CC4-5D6E-409C-BE32-E72D297353CC}">
              <c16:uniqueId val="{00000006-8341-44E8-AEC6-1604697994EC}"/>
            </c:ext>
          </c:extLst>
        </c:ser>
        <c:dLbls>
          <c:showLegendKey val="0"/>
          <c:showVal val="0"/>
          <c:showCatName val="0"/>
          <c:showSerName val="0"/>
          <c:showPercent val="1"/>
          <c:showBubbleSize val="0"/>
          <c:showLeaderLines val="1"/>
        </c:dLbls>
        <c:firstSliceAng val="119"/>
        <c:holeSize val="50"/>
      </c:doughnutChart>
      <c:spPr>
        <a:noFill/>
        <a:ln>
          <a:noFill/>
        </a:ln>
        <a:effectLst/>
      </c:spPr>
    </c:plotArea>
    <c:legend>
      <c:legendPos val="b"/>
      <c:layout>
        <c:manualLayout>
          <c:xMode val="edge"/>
          <c:yMode val="edge"/>
          <c:x val="0.16031693825143623"/>
          <c:y val="0.87285815362844921"/>
          <c:w val="0.67936567170922213"/>
          <c:h val="0.1136699469504181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lumMod val="65000"/>
                    <a:lumOff val="35000"/>
                  </a:schemeClr>
                </a:solidFill>
              </a:rPr>
              <a:t>OUTLET</a:t>
            </a:r>
            <a:r>
              <a:rPr lang="en-US" sz="1200" b="1" baseline="0">
                <a:solidFill>
                  <a:schemeClr val="tx1">
                    <a:lumMod val="65000"/>
                    <a:lumOff val="35000"/>
                  </a:schemeClr>
                </a:solidFill>
              </a:rPr>
              <a:t> TYPE</a:t>
            </a:r>
            <a:endParaRPr lang="en-US" sz="1200" b="1">
              <a:solidFill>
                <a:schemeClr val="tx1">
                  <a:lumMod val="65000"/>
                  <a:lumOff val="35000"/>
                </a:schemeClr>
              </a:solidFill>
            </a:endParaRPr>
          </a:p>
        </c:rich>
      </c:tx>
      <c:layout>
        <c:manualLayout>
          <c:xMode val="edge"/>
          <c:yMode val="edge"/>
          <c:x val="1.7053019991706844E-2"/>
          <c:y val="7.27948041463446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0" scaled="1"/>
            <a:tileRect/>
          </a:gra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0" scaled="1"/>
            <a:tileRect/>
          </a:gradFill>
          <a:ln>
            <a:no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2538575615267817"/>
                  <c:h val="0.16520372684041798"/>
                </c:manualLayout>
              </c15:layout>
            </c:ext>
          </c:extLst>
        </c:dLbl>
      </c:pivotFmt>
      <c:pivotFmt>
        <c:idx val="4"/>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0" scaled="1"/>
            <a:tileRect/>
          </a:gradFill>
          <a:ln>
            <a:no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4778021020914984"/>
                  <c:h val="0.15884204511336453"/>
                </c:manualLayout>
              </c15:layout>
            </c:ext>
          </c:extLst>
        </c:dLbl>
      </c:pivotFmt>
      <c:pivotFmt>
        <c:idx val="5"/>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0" scaled="1"/>
            <a:tileRect/>
          </a:gradFill>
          <a:ln>
            <a:no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46896119487306231"/>
                  <c:h val="0.18344229111582455"/>
                </c:manualLayout>
              </c15:layout>
            </c:ext>
          </c:extLst>
        </c:dLbl>
      </c:pivotFmt>
      <c:pivotFmt>
        <c:idx val="6"/>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0" scaled="1"/>
            <a:tileRect/>
          </a:gradFill>
          <a:ln>
            <a:no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0441074350011182"/>
                  <c:h val="0.15884204511336453"/>
                </c:manualLayout>
              </c15:layout>
            </c:ext>
          </c:extLst>
        </c:dLbl>
      </c:pivotFmt>
    </c:pivotFmts>
    <c:plotArea>
      <c:layout/>
      <c:barChart>
        <c:barDir val="bar"/>
        <c:grouping val="clustered"/>
        <c:varyColors val="0"/>
        <c:ser>
          <c:idx val="0"/>
          <c:order val="0"/>
          <c:tx>
            <c:strRef>
              <c:f>'Pivot Tables'!$R$2</c:f>
              <c:strCache>
                <c:ptCount val="1"/>
                <c:pt idx="0">
                  <c:v>Total</c:v>
                </c:pt>
              </c:strCache>
            </c:strRef>
          </c:tx>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0" scaled="1"/>
              <a:tileRect/>
            </a:gradFill>
            <a:ln>
              <a:noFill/>
            </a:ln>
            <a:effectLst>
              <a:outerShdw blurRad="63500" sx="102000" sy="102000" algn="ctr" rotWithShape="0">
                <a:prstClr val="black">
                  <a:alpha val="40000"/>
                </a:prstClr>
              </a:outerShdw>
            </a:effectLst>
          </c:spPr>
          <c:invertIfNegative val="0"/>
          <c:dPt>
            <c:idx val="0"/>
            <c:invertIfNegative val="0"/>
            <c:bubble3D val="0"/>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0" scaled="1"/>
                <a:tileRect/>
              </a:gra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4-0765-4DE5-AFE7-09BAA35309A9}"/>
              </c:ext>
            </c:extLst>
          </c:dPt>
          <c:dPt>
            <c:idx val="1"/>
            <c:invertIfNegative val="0"/>
            <c:bubble3D val="0"/>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0" scaled="1"/>
                <a:tileRect/>
              </a:gra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0765-4DE5-AFE7-09BAA35309A9}"/>
              </c:ext>
            </c:extLst>
          </c:dPt>
          <c:dPt>
            <c:idx val="2"/>
            <c:invertIfNegative val="0"/>
            <c:bubble3D val="0"/>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0" scaled="1"/>
                <a:tileRect/>
              </a:gra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2-0765-4DE5-AFE7-09BAA35309A9}"/>
              </c:ext>
            </c:extLst>
          </c:dPt>
          <c:dPt>
            <c:idx val="3"/>
            <c:invertIfNegative val="0"/>
            <c:bubble3D val="0"/>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0" scaled="1"/>
                <a:tileRect/>
              </a:gra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0765-4DE5-AFE7-09BAA35309A9}"/>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30441074350011182"/>
                      <c:h val="0.15884204511336453"/>
                    </c:manualLayout>
                  </c15:layout>
                </c:ext>
                <c:ext xmlns:c16="http://schemas.microsoft.com/office/drawing/2014/chart" uri="{C3380CC4-5D6E-409C-BE32-E72D297353CC}">
                  <c16:uniqueId val="{00000004-0765-4DE5-AFE7-09BAA35309A9}"/>
                </c:ext>
              </c:extLst>
            </c:dLbl>
            <c:dLbl>
              <c:idx val="1"/>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2538575615267817"/>
                      <c:h val="0.16520372684041798"/>
                    </c:manualLayout>
                  </c15:layout>
                </c:ext>
                <c:ext xmlns:c16="http://schemas.microsoft.com/office/drawing/2014/chart" uri="{C3380CC4-5D6E-409C-BE32-E72D297353CC}">
                  <c16:uniqueId val="{00000003-0765-4DE5-AFE7-09BAA35309A9}"/>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34778021020914984"/>
                      <c:h val="0.15884204511336453"/>
                    </c:manualLayout>
                  </c15:layout>
                </c:ext>
                <c:ext xmlns:c16="http://schemas.microsoft.com/office/drawing/2014/chart" uri="{C3380CC4-5D6E-409C-BE32-E72D297353CC}">
                  <c16:uniqueId val="{00000002-0765-4DE5-AFE7-09BAA35309A9}"/>
                </c:ext>
              </c:extLst>
            </c:dLbl>
            <c:dLbl>
              <c:idx val="3"/>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46896119487306231"/>
                      <c:h val="0.18344229111582455"/>
                    </c:manualLayout>
                  </c15:layout>
                </c:ext>
                <c:ext xmlns:c16="http://schemas.microsoft.com/office/drawing/2014/chart" uri="{C3380CC4-5D6E-409C-BE32-E72D297353CC}">
                  <c16:uniqueId val="{00000001-0765-4DE5-AFE7-09BAA35309A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Tables'!$Q$3:$Q$7</c:f>
              <c:strCache>
                <c:ptCount val="4"/>
                <c:pt idx="0">
                  <c:v>Grocery Store</c:v>
                </c:pt>
                <c:pt idx="1">
                  <c:v>Supermarket Type3</c:v>
                </c:pt>
                <c:pt idx="2">
                  <c:v>Supermarket Type2</c:v>
                </c:pt>
                <c:pt idx="3">
                  <c:v>Supermarket Type1</c:v>
                </c:pt>
              </c:strCache>
            </c:strRef>
          </c:cat>
          <c:val>
            <c:numRef>
              <c:f>'Pivot Tables'!$R$3:$R$7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765-4DE5-AFE7-09BAA35309A9}"/>
            </c:ext>
          </c:extLst>
        </c:ser>
        <c:dLbls>
          <c:dLblPos val="outEnd"/>
          <c:showLegendKey val="0"/>
          <c:showVal val="1"/>
          <c:showCatName val="0"/>
          <c:showSerName val="0"/>
          <c:showPercent val="0"/>
          <c:showBubbleSize val="0"/>
        </c:dLbls>
        <c:gapWidth val="50"/>
        <c:axId val="1097129103"/>
        <c:axId val="1097129583"/>
      </c:barChart>
      <c:catAx>
        <c:axId val="109712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7129583"/>
        <c:crosses val="autoZero"/>
        <c:auto val="1"/>
        <c:lblAlgn val="ctr"/>
        <c:lblOffset val="100"/>
        <c:noMultiLvlLbl val="0"/>
      </c:catAx>
      <c:valAx>
        <c:axId val="1097129583"/>
        <c:scaling>
          <c:orientation val="minMax"/>
        </c:scaling>
        <c:delete val="1"/>
        <c:axPos val="b"/>
        <c:numFmt formatCode="\$0.0,&quot;K&quot;" sourceLinked="1"/>
        <c:majorTickMark val="none"/>
        <c:minorTickMark val="none"/>
        <c:tickLblPos val="nextTo"/>
        <c:crossAx val="109712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646416059917195"/>
                  <c:h val="0.17634180790960452"/>
                </c:manualLayout>
              </c15:layout>
            </c:ext>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646416059917195"/>
                  <c:h val="0.17634180790960452"/>
                </c:manualLayout>
              </c15:layout>
            </c:ext>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159665711242162"/>
                  <c:h val="0.17634180790960452"/>
                </c:manualLayout>
              </c15:layout>
            </c:ext>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949065990182186"/>
                  <c:h val="0.17634180790960452"/>
                </c:manualLayout>
              </c15:layout>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0" scaled="1"/>
            <a:tileRect/>
          </a:gra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0" scaled="1"/>
            <a:tileRect/>
          </a:gradFill>
          <a:ln>
            <a:no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372119552817698"/>
                  <c:h val="0.16526943923285387"/>
                </c:manualLayout>
              </c15:layout>
            </c:ext>
          </c:extLst>
        </c:dLbl>
      </c:pivotFmt>
      <c:pivotFmt>
        <c:idx val="10"/>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0" scaled="1"/>
            <a:tileRect/>
          </a:gradFill>
          <a:ln>
            <a:no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820898927675107"/>
                  <c:h val="0.16526943923285387"/>
                </c:manualLayout>
              </c15:layout>
            </c:ext>
          </c:extLst>
        </c:dLbl>
      </c:pivotFmt>
      <c:pivotFmt>
        <c:idx val="11"/>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0" scaled="1"/>
            <a:tileRect/>
          </a:gradFill>
          <a:ln>
            <a:no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8718457677389914"/>
                  <c:h val="0.16526943923285387"/>
                </c:manualLayout>
              </c15:layout>
            </c:ext>
          </c:extLst>
        </c:dLbl>
      </c:pivotFmt>
      <c:pivotFmt>
        <c:idx val="12"/>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0" scaled="1"/>
            <a:tileRect/>
          </a:gradFill>
          <a:ln>
            <a:no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269678302532507"/>
                  <c:h val="0.16526943923285387"/>
                </c:manualLayout>
              </c15:layout>
            </c:ext>
          </c:extLst>
        </c:dLbl>
      </c:pivotFmt>
    </c:pivotFmts>
    <c:plotArea>
      <c:layout/>
      <c:barChart>
        <c:barDir val="bar"/>
        <c:grouping val="clustered"/>
        <c:varyColors val="0"/>
        <c:ser>
          <c:idx val="0"/>
          <c:order val="0"/>
          <c:tx>
            <c:strRef>
              <c:f>'Pivot Tables'!$R$11</c:f>
              <c:strCache>
                <c:ptCount val="1"/>
                <c:pt idx="0">
                  <c:v>Total</c:v>
                </c:pt>
              </c:strCache>
            </c:strRef>
          </c:tx>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0" scaled="1"/>
              <a:tileRect/>
            </a:gradFill>
            <a:ln>
              <a:noFill/>
            </a:ln>
            <a:effectLst>
              <a:outerShdw blurRad="63500" sx="102000" sy="102000" algn="ctr" rotWithShape="0">
                <a:prstClr val="black">
                  <a:alpha val="40000"/>
                </a:prstClr>
              </a:outerShdw>
            </a:effectLst>
          </c:spPr>
          <c:invertIfNegative val="0"/>
          <c:dPt>
            <c:idx val="0"/>
            <c:invertIfNegative val="0"/>
            <c:bubble3D val="0"/>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0" scaled="1"/>
                <a:tileRect/>
              </a:gra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3238-436B-847A-99A401EB9118}"/>
              </c:ext>
            </c:extLst>
          </c:dPt>
          <c:dPt>
            <c:idx val="1"/>
            <c:invertIfNegative val="0"/>
            <c:bubble3D val="0"/>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0" scaled="1"/>
                <a:tileRect/>
              </a:gra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2-3238-436B-847A-99A401EB9118}"/>
              </c:ext>
            </c:extLst>
          </c:dPt>
          <c:dPt>
            <c:idx val="2"/>
            <c:invertIfNegative val="0"/>
            <c:bubble3D val="0"/>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0" scaled="1"/>
                <a:tileRect/>
              </a:gra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3238-436B-847A-99A401EB9118}"/>
              </c:ext>
            </c:extLst>
          </c:dPt>
          <c:dPt>
            <c:idx val="3"/>
            <c:invertIfNegative val="0"/>
            <c:bubble3D val="0"/>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0" scaled="1"/>
                <a:tileRect/>
              </a:gra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0-3238-436B-847A-99A401EB9118}"/>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7269678302532507"/>
                      <c:h val="0.16526943923285387"/>
                    </c:manualLayout>
                  </c15:layout>
                </c:ext>
                <c:ext xmlns:c16="http://schemas.microsoft.com/office/drawing/2014/chart" uri="{C3380CC4-5D6E-409C-BE32-E72D297353CC}">
                  <c16:uniqueId val="{00000003-3238-436B-847A-99A401EB9118}"/>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28718457677389914"/>
                      <c:h val="0.16526943923285387"/>
                    </c:manualLayout>
                  </c15:layout>
                </c:ext>
                <c:ext xmlns:c16="http://schemas.microsoft.com/office/drawing/2014/chart" uri="{C3380CC4-5D6E-409C-BE32-E72D297353CC}">
                  <c16:uniqueId val="{00000002-3238-436B-847A-99A401EB9118}"/>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5820898927675107"/>
                      <c:h val="0.16526943923285387"/>
                    </c:manualLayout>
                  </c15:layout>
                </c:ext>
                <c:ext xmlns:c16="http://schemas.microsoft.com/office/drawing/2014/chart" uri="{C3380CC4-5D6E-409C-BE32-E72D297353CC}">
                  <c16:uniqueId val="{00000001-3238-436B-847A-99A401EB9118}"/>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4372119552817698"/>
                      <c:h val="0.16526943923285387"/>
                    </c:manualLayout>
                  </c15:layout>
                </c:ext>
                <c:ext xmlns:c16="http://schemas.microsoft.com/office/drawing/2014/chart" uri="{C3380CC4-5D6E-409C-BE32-E72D297353CC}">
                  <c16:uniqueId val="{00000000-3238-436B-847A-99A401EB911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Tables'!$Q$12:$Q$16</c:f>
              <c:strCache>
                <c:ptCount val="4"/>
                <c:pt idx="0">
                  <c:v>Grocery Store</c:v>
                </c:pt>
                <c:pt idx="1">
                  <c:v>Supermarket Type3</c:v>
                </c:pt>
                <c:pt idx="2">
                  <c:v>Supermarket Type2</c:v>
                </c:pt>
                <c:pt idx="3">
                  <c:v>Supermarket Type1</c:v>
                </c:pt>
              </c:strCache>
            </c:strRef>
          </c:cat>
          <c:val>
            <c:numRef>
              <c:f>'Pivot Tables'!$R$12:$R$16</c:f>
              <c:numCache>
                <c:formatCode>\$0.0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6-FE63-46C8-BDDE-D6755B6A1239}"/>
            </c:ext>
          </c:extLst>
        </c:ser>
        <c:dLbls>
          <c:dLblPos val="inEnd"/>
          <c:showLegendKey val="0"/>
          <c:showVal val="1"/>
          <c:showCatName val="0"/>
          <c:showSerName val="0"/>
          <c:showPercent val="0"/>
          <c:showBubbleSize val="0"/>
        </c:dLbls>
        <c:gapWidth val="50"/>
        <c:axId val="1313245807"/>
        <c:axId val="1313247727"/>
      </c:barChart>
      <c:catAx>
        <c:axId val="1313245807"/>
        <c:scaling>
          <c:orientation val="minMax"/>
        </c:scaling>
        <c:delete val="1"/>
        <c:axPos val="l"/>
        <c:numFmt formatCode="General" sourceLinked="1"/>
        <c:majorTickMark val="none"/>
        <c:minorTickMark val="none"/>
        <c:tickLblPos val="nextTo"/>
        <c:crossAx val="1313247727"/>
        <c:crosses val="autoZero"/>
        <c:auto val="1"/>
        <c:lblAlgn val="ctr"/>
        <c:lblOffset val="100"/>
        <c:noMultiLvlLbl val="0"/>
      </c:catAx>
      <c:valAx>
        <c:axId val="1313247727"/>
        <c:scaling>
          <c:orientation val="minMax"/>
        </c:scaling>
        <c:delete val="1"/>
        <c:axPos val="b"/>
        <c:numFmt formatCode="\$0.0" sourceLinked="1"/>
        <c:majorTickMark val="none"/>
        <c:minorTickMark val="none"/>
        <c:tickLblPos val="nextTo"/>
        <c:crossAx val="131324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Tables!PivotTable13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Tables'!$R$21</c:f>
              <c:strCache>
                <c:ptCount val="1"/>
                <c:pt idx="0">
                  <c:v>Total</c:v>
                </c:pt>
              </c:strCache>
            </c:strRef>
          </c:tx>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a:noFill/>
            </a:ln>
            <a:effectLst>
              <a:outerShdw blurRad="63500" sx="102000" sy="102000" algn="c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Tables'!$Q$22:$Q$26</c:f>
              <c:strCache>
                <c:ptCount val="4"/>
                <c:pt idx="0">
                  <c:v>Grocery Store</c:v>
                </c:pt>
                <c:pt idx="1">
                  <c:v>Supermarket Type3</c:v>
                </c:pt>
                <c:pt idx="2">
                  <c:v>Supermarket Type2</c:v>
                </c:pt>
                <c:pt idx="3">
                  <c:v>Supermarket Type1</c:v>
                </c:pt>
              </c:strCache>
            </c:strRef>
          </c:cat>
          <c:val>
            <c:numRef>
              <c:f>'Pivot Tables'!$R$22:$R$26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46AC-4D6B-9432-6C5E9FBD619B}"/>
            </c:ext>
          </c:extLst>
        </c:ser>
        <c:dLbls>
          <c:dLblPos val="inEnd"/>
          <c:showLegendKey val="0"/>
          <c:showVal val="1"/>
          <c:showCatName val="0"/>
          <c:showSerName val="0"/>
          <c:showPercent val="0"/>
          <c:showBubbleSize val="0"/>
        </c:dLbls>
        <c:gapWidth val="50"/>
        <c:axId val="555226496"/>
        <c:axId val="555224096"/>
      </c:barChart>
      <c:catAx>
        <c:axId val="555226496"/>
        <c:scaling>
          <c:orientation val="minMax"/>
        </c:scaling>
        <c:delete val="1"/>
        <c:axPos val="l"/>
        <c:numFmt formatCode="General" sourceLinked="1"/>
        <c:majorTickMark val="none"/>
        <c:minorTickMark val="none"/>
        <c:tickLblPos val="nextTo"/>
        <c:crossAx val="555224096"/>
        <c:crosses val="autoZero"/>
        <c:auto val="1"/>
        <c:lblAlgn val="ctr"/>
        <c:lblOffset val="100"/>
        <c:noMultiLvlLbl val="0"/>
      </c:catAx>
      <c:valAx>
        <c:axId val="555224096"/>
        <c:scaling>
          <c:orientation val="minMax"/>
        </c:scaling>
        <c:delete val="1"/>
        <c:axPos val="b"/>
        <c:numFmt formatCode="0" sourceLinked="1"/>
        <c:majorTickMark val="none"/>
        <c:minorTickMark val="none"/>
        <c:tickLblPos val="nextTo"/>
        <c:crossAx val="55522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title pos="t" align="ctr" overlay="0">
      <cx:tx>
        <cx:txData>
          <cx:v>ITEM TYPE</cx:v>
        </cx:txData>
      </cx:tx>
      <cx:txPr>
        <a:bodyPr rot="0" spcFirstLastPara="1" vertOverflow="ellipsis" vert="horz" wrap="square" lIns="38100" tIns="19050" rIns="38100" bIns="19050" anchor="ctr" anchorCtr="1" compatLnSpc="0"/>
        <a:lstStyle/>
        <a:p>
          <a:pPr algn="ctr" rtl="0">
            <a:defRPr sz="1400" b="0" i="0" u="none" strike="noStrike" baseline="0">
              <a:solidFill>
                <a:sysClr val="windowText" lastClr="000000">
                  <a:lumMod val="65000"/>
                  <a:lumOff val="35000"/>
                </a:sysClr>
              </a:solidFill>
              <a:latin typeface="+mn-lt"/>
              <a:ea typeface="+mn-ea"/>
              <a:cs typeface="+mn-cs"/>
            </a:defRPr>
          </a:pPr>
          <a:r>
            <a:rPr kumimoji="0" lang="en-US" sz="1200" b="1" i="0" u="none" strike="noStrike" kern="0" cap="none" spc="0" normalizeH="0" baseline="0" noProof="0">
              <a:ln>
                <a:noFill/>
              </a:ln>
              <a:solidFill>
                <a:sysClr val="windowText" lastClr="000000">
                  <a:lumMod val="65000"/>
                  <a:lumOff val="35000"/>
                </a:sysClr>
              </a:solidFill>
              <a:effectLst/>
              <a:uLnTx/>
              <a:uFillTx/>
              <a:latin typeface="Calibri" panose="020F0502020204030204"/>
            </a:rPr>
            <a:t>ITEM TYPE</a:t>
          </a:r>
        </a:p>
      </cx:txPr>
    </cx:title>
    <cx:plotArea>
      <cx:plotAreaRegion>
        <cx:series layoutId="funnel" uniqueId="{898A8955-C557-419D-8B30-5C03B8F7745B}">
          <cx:tx>
            <cx:txData>
              <cx:f>_xlchart.v2.3</cx:f>
              <cx:v>Sales</cx:v>
            </cx:txData>
          </cx:tx>
          <cx: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path path="circle">
                <a:fillToRect l="50000" t="50000" r="50000" b="50000"/>
              </a:path>
              <a:tileRect/>
            </a:gradFill>
            <a:effectLst>
              <a:outerShdw blurRad="63500" sx="102000" sy="102000" algn="ctr" rotWithShape="0">
                <a:prstClr val="black">
                  <a:alpha val="40000"/>
                </a:prstClr>
              </a:outerShdw>
            </a:effectLst>
          </cx:spPr>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series>
      </cx:plotAreaRegion>
      <cx:axis id="1">
        <cx:catScaling gapWidth="0.150000006"/>
        <cx:tickLabels/>
        <cx:txPr>
          <a:bodyPr spcFirstLastPara="1" vertOverflow="ellipsis" horzOverflow="overflow" wrap="square" lIns="0" tIns="0" rIns="0" bIns="0" anchor="ctr" anchorCtr="1"/>
          <a:lstStyle/>
          <a:p>
            <a:pPr algn="ctr" rtl="0">
              <a:defRPr sz="700" b="1">
                <a:solidFill>
                  <a:schemeClr val="tx1">
                    <a:lumMod val="65000"/>
                    <a:lumOff val="35000"/>
                  </a:schemeClr>
                </a:solidFill>
              </a:defRPr>
            </a:pPr>
            <a:endParaRPr lang="en-US" sz="700" b="1" i="0" u="none" strike="noStrike" baseline="0">
              <a:solidFill>
                <a:schemeClr val="tx1">
                  <a:lumMod val="65000"/>
                  <a:lumOff val="35000"/>
                </a:schemeClr>
              </a:solidFill>
              <a:latin typeface="Calibri" panose="020F050202020403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ln>
              <a:noFill/>
            </a:ln>
          </cx:spPr>
        </cx:plotSurface>
        <cx:series layoutId="funnel" uniqueId="{4D72F9AE-4AD1-4362-B1D7-3D78A3D22820}">
          <cx:spPr>
            <a:solidFill>
              <a:srgbClr val="FFCF01"/>
            </a:solidFill>
          </cx:spPr>
          <cx:dataPt idx="0">
            <cx:spPr>
              <a:solidFill>
                <a:srgbClr val="70AD47">
                  <a:lumMod val="50000"/>
                </a:srgbClr>
              </a:solidFill>
              <a:effectLst>
                <a:outerShdw blurRad="63500" sx="102000" sy="102000" algn="ctr" rotWithShape="0">
                  <a:prstClr val="black">
                    <a:alpha val="40000"/>
                  </a:prstClr>
                </a:outerShdw>
              </a:effectLst>
            </cx:spPr>
          </cx:dataPt>
          <cx:dataPt idx="1">
            <cx:spPr>
              <a:solidFill>
                <a:srgbClr val="70AD47">
                  <a:lumMod val="60000"/>
                  <a:lumOff val="40000"/>
                </a:srgbClr>
              </a:solidFill>
              <a:effectLst>
                <a:outerShdw blurRad="63500" sx="102000" sy="102000" algn="ctr" rotWithShape="0">
                  <a:prstClr val="black">
                    <a:alpha val="40000"/>
                  </a:prstClr>
                </a:outerShdw>
              </a:effectLst>
            </cx:spPr>
          </cx:dataPt>
          <cx:dataPt idx="2">
            <cx:spPr>
              <a:solidFill>
                <a:srgbClr val="FFC000"/>
              </a:solidFill>
              <a:effectLst>
                <a:outerShdw blurRad="63500" sx="102000" sy="102000" algn="ctr" rotWithShape="0">
                  <a:prstClr val="black">
                    <a:alpha val="40000"/>
                  </a:prstClr>
                </a:outerShdw>
              </a:effectLst>
            </cx:spPr>
          </cx:dataPt>
          <cx:dataLabels>
            <cx:txPr>
              <a:bodyPr spcFirstLastPara="1" vertOverflow="ellipsis" horzOverflow="overflow" wrap="square" lIns="0" tIns="0" rIns="0" bIns="0" anchor="ctr" anchorCtr="1"/>
              <a:lstStyle/>
              <a:p>
                <a:pPr algn="ctr" rtl="0">
                  <a:defRPr sz="1000" b="1">
                    <a:solidFill>
                      <a:sysClr val="windowText" lastClr="000000"/>
                    </a:solidFill>
                  </a:defRPr>
                </a:pPr>
                <a:endParaRPr lang="en-US" sz="1000" b="1" i="0" u="none" strike="noStrike" baseline="0">
                  <a:solidFill>
                    <a:sysClr val="windowText" lastClr="000000"/>
                  </a:solidFill>
                  <a:latin typeface="Calibri" panose="020F0502020204030204"/>
                </a:endParaRPr>
              </a:p>
            </cx:txPr>
            <cx:visibility seriesName="0" categoryName="0" value="1"/>
            <cx:dataLabel idx="0">
              <cx:txPr>
                <a:bodyPr spcFirstLastPara="1" vertOverflow="ellipsis" horzOverflow="overflow" wrap="square" lIns="0" tIns="0" rIns="0" bIns="0" anchor="ctr" anchorCtr="1"/>
                <a:lstStyle/>
                <a:p>
                  <a:pPr algn="ctr" rtl="0">
                    <a:defRPr>
                      <a:solidFill>
                        <a:schemeClr val="bg1"/>
                      </a:solidFill>
                    </a:defRPr>
                  </a:pPr>
                  <a:r>
                    <a:rPr lang="en-US" sz="1000" b="1" i="0" u="none" strike="noStrike" baseline="0">
                      <a:solidFill>
                        <a:schemeClr val="bg1"/>
                      </a:solidFill>
                      <a:latin typeface="Calibri" panose="020F0502020204030204"/>
                    </a:rPr>
                    <a:t>$472.1K</a:t>
                  </a:r>
                </a:p>
              </cx:txPr>
            </cx:dataLabel>
            <cx:dataLabel idx="2">
              <cx:txPr>
                <a:bodyPr spcFirstLastPara="1" vertOverflow="ellipsis" horzOverflow="overflow" wrap="square" lIns="0" tIns="0" rIns="0" bIns="0" anchor="ctr" anchorCtr="1"/>
                <a:lstStyle/>
                <a:p>
                  <a:pPr algn="ctr" rtl="0">
                    <a:defRPr>
                      <a:solidFill>
                        <a:sysClr val="windowText" lastClr="000000"/>
                      </a:solidFill>
                    </a:defRPr>
                  </a:pPr>
                  <a:r>
                    <a:rPr lang="en-US" sz="1000" b="1" i="0" u="none" strike="noStrike" baseline="0">
                      <a:solidFill>
                        <a:sysClr val="windowText" lastClr="000000"/>
                      </a:solidFill>
                      <a:latin typeface="Calibri" panose="020F0502020204030204"/>
                    </a:rPr>
                    <a:t>$336.4K</a:t>
                  </a:r>
                </a:p>
              </cx:txPr>
            </cx:dataLabel>
          </cx:dataLabels>
          <cx:dataId val="0"/>
        </cx:series>
      </cx:plotAreaRegion>
      <cx:axis id="0">
        <cx:catScaling gapWidth="0.25"/>
        <cx:tickLabels/>
        <cx:txPr>
          <a:bodyPr spcFirstLastPara="1" vertOverflow="ellipsis" horzOverflow="overflow" wrap="square" lIns="0" tIns="0" rIns="0" bIns="0" anchor="ctr" anchorCtr="1"/>
          <a:lstStyle/>
          <a:p>
            <a:pPr algn="ctr" rtl="0">
              <a:defRPr sz="1000" b="1">
                <a:solidFill>
                  <a:schemeClr val="tx1">
                    <a:lumMod val="65000"/>
                    <a:lumOff val="35000"/>
                  </a:schemeClr>
                </a:solidFill>
              </a:defRPr>
            </a:pPr>
            <a:endParaRPr lang="en-US" sz="1000" b="1" i="0" u="none" strike="noStrike" baseline="0">
              <a:solidFill>
                <a:schemeClr val="tx1">
                  <a:lumMod val="65000"/>
                  <a:lumOff val="35000"/>
                </a:scheme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6.xml"/><Relationship Id="rId18" Type="http://schemas.openxmlformats.org/officeDocument/2006/relationships/hyperlink" Target="#'BlinkIT Grocery Data'!A1"/><Relationship Id="rId3" Type="http://schemas.openxmlformats.org/officeDocument/2006/relationships/image" Target="../media/image3.png"/><Relationship Id="rId7" Type="http://schemas.microsoft.com/office/2014/relationships/chartEx" Target="../charts/chartEx1.xml"/><Relationship Id="rId12" Type="http://schemas.openxmlformats.org/officeDocument/2006/relationships/chart" Target="../charts/chart5.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Pivot Tables'!A1"/><Relationship Id="rId1" Type="http://schemas.openxmlformats.org/officeDocument/2006/relationships/image" Target="../media/image1.png"/><Relationship Id="rId6" Type="http://schemas.openxmlformats.org/officeDocument/2006/relationships/chart" Target="../charts/chart1.xml"/><Relationship Id="rId11" Type="http://schemas.microsoft.com/office/2014/relationships/chartEx" Target="../charts/chartEx2.xml"/><Relationship Id="rId5" Type="http://schemas.openxmlformats.org/officeDocument/2006/relationships/image" Target="../media/image5.png"/><Relationship Id="rId15" Type="http://schemas.openxmlformats.org/officeDocument/2006/relationships/image" Target="../media/image6.png"/><Relationship Id="rId10" Type="http://schemas.openxmlformats.org/officeDocument/2006/relationships/chart" Target="../charts/chart4.xml"/><Relationship Id="rId19"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91440</xdr:colOff>
      <xdr:row>1</xdr:row>
      <xdr:rowOff>114300</xdr:rowOff>
    </xdr:from>
    <xdr:to>
      <xdr:col>4</xdr:col>
      <xdr:colOff>243840</xdr:colOff>
      <xdr:row>31</xdr:row>
      <xdr:rowOff>129540</xdr:rowOff>
    </xdr:to>
    <xdr:sp macro="" textlink="">
      <xdr:nvSpPr>
        <xdr:cNvPr id="2" name="Rectangle: Rounded Corners 1">
          <a:extLst>
            <a:ext uri="{FF2B5EF4-FFF2-40B4-BE49-F238E27FC236}">
              <a16:creationId xmlns:a16="http://schemas.microsoft.com/office/drawing/2014/main" id="{0230CD59-8FC6-C669-FFB8-09338CD0C0F9}"/>
            </a:ext>
          </a:extLst>
        </xdr:cNvPr>
        <xdr:cNvSpPr/>
      </xdr:nvSpPr>
      <xdr:spPr>
        <a:xfrm>
          <a:off x="762000" y="312420"/>
          <a:ext cx="2164080" cy="5958840"/>
        </a:xfrm>
        <a:prstGeom prst="roundRect">
          <a:avLst>
            <a:gd name="adj" fmla="val 7160"/>
          </a:avLst>
        </a:prstGeom>
        <a:solidFill>
          <a:srgbClr val="FFE36D"/>
        </a:solidFill>
        <a:ln>
          <a:noFill/>
        </a:ln>
        <a:effectLst>
          <a:glow rad="63500">
            <a:schemeClr val="accent1">
              <a:alpha val="40000"/>
            </a:schemeClr>
          </a:glow>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388620</xdr:colOff>
      <xdr:row>1</xdr:row>
      <xdr:rowOff>114300</xdr:rowOff>
    </xdr:from>
    <xdr:to>
      <xdr:col>8</xdr:col>
      <xdr:colOff>370380</xdr:colOff>
      <xdr:row>5</xdr:row>
      <xdr:rowOff>114300</xdr:rowOff>
    </xdr:to>
    <xdr:sp macro="" textlink="">
      <xdr:nvSpPr>
        <xdr:cNvPr id="3" name="Rectangle: Rounded Corners 2">
          <a:extLst>
            <a:ext uri="{FF2B5EF4-FFF2-40B4-BE49-F238E27FC236}">
              <a16:creationId xmlns:a16="http://schemas.microsoft.com/office/drawing/2014/main" id="{F23B94B8-83E2-28D5-1C66-0C90C3D90494}"/>
            </a:ext>
          </a:extLst>
        </xdr:cNvPr>
        <xdr:cNvSpPr/>
      </xdr:nvSpPr>
      <xdr:spPr>
        <a:xfrm>
          <a:off x="3070860" y="312420"/>
          <a:ext cx="2664000" cy="792480"/>
        </a:xfrm>
        <a:prstGeom prst="roundRect">
          <a:avLst>
            <a:gd name="adj" fmla="val 18590"/>
          </a:avLst>
        </a:prstGeom>
        <a:solidFill>
          <a:schemeClr val="bg1"/>
        </a:solidFill>
        <a:ln>
          <a:noFill/>
        </a:ln>
        <a:effectLst>
          <a:outerShdw blurRad="50800" dist="38100" dir="10800000" algn="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495300</xdr:colOff>
      <xdr:row>1</xdr:row>
      <xdr:rowOff>121920</xdr:rowOff>
    </xdr:from>
    <xdr:to>
      <xdr:col>12</xdr:col>
      <xdr:colOff>477060</xdr:colOff>
      <xdr:row>5</xdr:row>
      <xdr:rowOff>121920</xdr:rowOff>
    </xdr:to>
    <xdr:sp macro="" textlink="">
      <xdr:nvSpPr>
        <xdr:cNvPr id="5" name="Rectangle: Rounded Corners 4">
          <a:extLst>
            <a:ext uri="{FF2B5EF4-FFF2-40B4-BE49-F238E27FC236}">
              <a16:creationId xmlns:a16="http://schemas.microsoft.com/office/drawing/2014/main" id="{64EEEF14-B698-5678-6EBA-527CFF8A39B4}"/>
            </a:ext>
          </a:extLst>
        </xdr:cNvPr>
        <xdr:cNvSpPr/>
      </xdr:nvSpPr>
      <xdr:spPr>
        <a:xfrm>
          <a:off x="5859780" y="320040"/>
          <a:ext cx="2664000" cy="792480"/>
        </a:xfrm>
        <a:prstGeom prst="roundRect">
          <a:avLst>
            <a:gd name="adj" fmla="val 18590"/>
          </a:avLst>
        </a:prstGeom>
        <a:solidFill>
          <a:schemeClr val="bg1"/>
        </a:solidFill>
        <a:ln>
          <a:noFill/>
        </a:ln>
        <a:effectLst>
          <a:outerShdw blurRad="50800" dist="38100" dir="10800000" algn="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381000</xdr:colOff>
      <xdr:row>6</xdr:row>
      <xdr:rowOff>60960</xdr:rowOff>
    </xdr:from>
    <xdr:to>
      <xdr:col>8</xdr:col>
      <xdr:colOff>362760</xdr:colOff>
      <xdr:row>10</xdr:row>
      <xdr:rowOff>60960</xdr:rowOff>
    </xdr:to>
    <xdr:sp macro="" textlink="">
      <xdr:nvSpPr>
        <xdr:cNvPr id="6" name="Rectangle: Rounded Corners 5">
          <a:extLst>
            <a:ext uri="{FF2B5EF4-FFF2-40B4-BE49-F238E27FC236}">
              <a16:creationId xmlns:a16="http://schemas.microsoft.com/office/drawing/2014/main" id="{D847F13D-BCCD-147D-1687-FA2FBCB56E6A}"/>
            </a:ext>
          </a:extLst>
        </xdr:cNvPr>
        <xdr:cNvSpPr/>
      </xdr:nvSpPr>
      <xdr:spPr>
        <a:xfrm>
          <a:off x="3063240" y="1249680"/>
          <a:ext cx="2664000" cy="792480"/>
        </a:xfrm>
        <a:prstGeom prst="roundRect">
          <a:avLst>
            <a:gd name="adj" fmla="val 18590"/>
          </a:avLst>
        </a:prstGeom>
        <a:solidFill>
          <a:schemeClr val="bg1"/>
        </a:solidFill>
        <a:ln>
          <a:noFill/>
        </a:ln>
        <a:effectLst>
          <a:outerShdw blurRad="50800" dist="38100" dir="10800000" algn="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518160</xdr:colOff>
      <xdr:row>6</xdr:row>
      <xdr:rowOff>60960</xdr:rowOff>
    </xdr:from>
    <xdr:to>
      <xdr:col>12</xdr:col>
      <xdr:colOff>499920</xdr:colOff>
      <xdr:row>10</xdr:row>
      <xdr:rowOff>60960</xdr:rowOff>
    </xdr:to>
    <xdr:sp macro="" textlink="">
      <xdr:nvSpPr>
        <xdr:cNvPr id="7" name="Rectangle: Rounded Corners 6">
          <a:extLst>
            <a:ext uri="{FF2B5EF4-FFF2-40B4-BE49-F238E27FC236}">
              <a16:creationId xmlns:a16="http://schemas.microsoft.com/office/drawing/2014/main" id="{954A827E-D5A9-29A2-9071-55861E477ABE}"/>
            </a:ext>
          </a:extLst>
        </xdr:cNvPr>
        <xdr:cNvSpPr/>
      </xdr:nvSpPr>
      <xdr:spPr>
        <a:xfrm>
          <a:off x="5882640" y="1249680"/>
          <a:ext cx="2664000" cy="792480"/>
        </a:xfrm>
        <a:prstGeom prst="roundRect">
          <a:avLst>
            <a:gd name="adj" fmla="val 18590"/>
          </a:avLst>
        </a:prstGeom>
        <a:solidFill>
          <a:schemeClr val="bg1"/>
        </a:solidFill>
        <a:ln>
          <a:noFill/>
        </a:ln>
        <a:effectLst>
          <a:outerShdw blurRad="50800" dist="38100" dir="10800000" algn="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365760</xdr:colOff>
      <xdr:row>10</xdr:row>
      <xdr:rowOff>182880</xdr:rowOff>
    </xdr:from>
    <xdr:to>
      <xdr:col>12</xdr:col>
      <xdr:colOff>487680</xdr:colOff>
      <xdr:row>31</xdr:row>
      <xdr:rowOff>114300</xdr:rowOff>
    </xdr:to>
    <xdr:sp macro="" textlink="">
      <xdr:nvSpPr>
        <xdr:cNvPr id="8" name="Rectangle: Rounded Corners 7">
          <a:extLst>
            <a:ext uri="{FF2B5EF4-FFF2-40B4-BE49-F238E27FC236}">
              <a16:creationId xmlns:a16="http://schemas.microsoft.com/office/drawing/2014/main" id="{C8BD28BC-84A9-7B4C-209F-DFFB735D20D0}"/>
            </a:ext>
          </a:extLst>
        </xdr:cNvPr>
        <xdr:cNvSpPr/>
      </xdr:nvSpPr>
      <xdr:spPr>
        <a:xfrm>
          <a:off x="3048000" y="2164080"/>
          <a:ext cx="5486400" cy="4091940"/>
        </a:xfrm>
        <a:prstGeom prst="roundRect">
          <a:avLst>
            <a:gd name="adj" fmla="val 3513"/>
          </a:avLst>
        </a:prstGeom>
        <a:solidFill>
          <a:schemeClr val="bg1">
            <a:lumMod val="95000"/>
          </a:schemeClr>
        </a:solidFill>
        <a:ln>
          <a:noFill/>
        </a:ln>
        <a:effectLst>
          <a:outerShdw blurRad="50800" dist="38100" dir="10800000" algn="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563881</xdr:colOff>
      <xdr:row>1</xdr:row>
      <xdr:rowOff>99060</xdr:rowOff>
    </xdr:from>
    <xdr:to>
      <xdr:col>19</xdr:col>
      <xdr:colOff>601981</xdr:colOff>
      <xdr:row>31</xdr:row>
      <xdr:rowOff>114300</xdr:rowOff>
    </xdr:to>
    <xdr:sp macro="" textlink="">
      <xdr:nvSpPr>
        <xdr:cNvPr id="9" name="Rectangle: Rounded Corners 8">
          <a:extLst>
            <a:ext uri="{FF2B5EF4-FFF2-40B4-BE49-F238E27FC236}">
              <a16:creationId xmlns:a16="http://schemas.microsoft.com/office/drawing/2014/main" id="{505C8575-2F4A-838A-E284-C8D5FAF24984}"/>
            </a:ext>
          </a:extLst>
        </xdr:cNvPr>
        <xdr:cNvSpPr/>
      </xdr:nvSpPr>
      <xdr:spPr>
        <a:xfrm>
          <a:off x="8575767" y="295003"/>
          <a:ext cx="4711700" cy="5893526"/>
        </a:xfrm>
        <a:prstGeom prst="roundRect">
          <a:avLst>
            <a:gd name="adj" fmla="val 3513"/>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106680</xdr:colOff>
      <xdr:row>1</xdr:row>
      <xdr:rowOff>114301</xdr:rowOff>
    </xdr:from>
    <xdr:to>
      <xdr:col>4</xdr:col>
      <xdr:colOff>243840</xdr:colOff>
      <xdr:row>5</xdr:row>
      <xdr:rowOff>41754</xdr:rowOff>
    </xdr:to>
    <xdr:pic>
      <xdr:nvPicPr>
        <xdr:cNvPr id="11" name="Picture 10">
          <a:extLst>
            <a:ext uri="{FF2B5EF4-FFF2-40B4-BE49-F238E27FC236}">
              <a16:creationId xmlns:a16="http://schemas.microsoft.com/office/drawing/2014/main" id="{B6BDF38D-6028-7FFC-8E2A-31079FD8052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11" t="24878" r="-711" b="20976"/>
        <a:stretch>
          <a:fillRect/>
        </a:stretch>
      </xdr:blipFill>
      <xdr:spPr>
        <a:xfrm>
          <a:off x="774735" y="312630"/>
          <a:ext cx="2141324" cy="720768"/>
        </a:xfrm>
        <a:prstGeom prst="roundRect">
          <a:avLst>
            <a:gd name="adj" fmla="val 16405"/>
          </a:avLst>
        </a:prstGeom>
      </xdr:spPr>
    </xdr:pic>
    <xdr:clientData/>
  </xdr:twoCellAnchor>
  <xdr:twoCellAnchor>
    <xdr:from>
      <xdr:col>1</xdr:col>
      <xdr:colOff>335280</xdr:colOff>
      <xdr:row>3</xdr:row>
      <xdr:rowOff>160543</xdr:rowOff>
    </xdr:from>
    <xdr:to>
      <xdr:col>3</xdr:col>
      <xdr:colOff>586740</xdr:colOff>
      <xdr:row>5</xdr:row>
      <xdr:rowOff>23174</xdr:rowOff>
    </xdr:to>
    <xdr:sp macro="" textlink="">
      <xdr:nvSpPr>
        <xdr:cNvPr id="12" name="TextBox 11">
          <a:extLst>
            <a:ext uri="{FF2B5EF4-FFF2-40B4-BE49-F238E27FC236}">
              <a16:creationId xmlns:a16="http://schemas.microsoft.com/office/drawing/2014/main" id="{01D45D6D-ACCE-A6CE-3549-D066EC9707DE}"/>
            </a:ext>
          </a:extLst>
        </xdr:cNvPr>
        <xdr:cNvSpPr txBox="1"/>
      </xdr:nvSpPr>
      <xdr:spPr>
        <a:xfrm>
          <a:off x="1003335" y="755529"/>
          <a:ext cx="1587569" cy="259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India's Last Minute App</a:t>
          </a:r>
        </a:p>
      </xdr:txBody>
    </xdr:sp>
    <xdr:clientData/>
  </xdr:twoCellAnchor>
  <xdr:twoCellAnchor editAs="oneCell">
    <xdr:from>
      <xdr:col>4</xdr:col>
      <xdr:colOff>472440</xdr:colOff>
      <xdr:row>2</xdr:row>
      <xdr:rowOff>91440</xdr:rowOff>
    </xdr:from>
    <xdr:to>
      <xdr:col>5</xdr:col>
      <xdr:colOff>258470</xdr:colOff>
      <xdr:row>4</xdr:row>
      <xdr:rowOff>151790</xdr:rowOff>
    </xdr:to>
    <xdr:pic>
      <xdr:nvPicPr>
        <xdr:cNvPr id="14" name="Picture 13">
          <a:extLst>
            <a:ext uri="{FF2B5EF4-FFF2-40B4-BE49-F238E27FC236}">
              <a16:creationId xmlns:a16="http://schemas.microsoft.com/office/drawing/2014/main" id="{19CE0E0E-6163-8E6D-0865-E5259105BBF1}"/>
            </a:ext>
          </a:extLst>
        </xdr:cNvPr>
        <xdr:cNvPicPr>
          <a:picLocks noChangeAspect="1"/>
        </xdr:cNvPicPr>
      </xdr:nvPicPr>
      <xdr:blipFill>
        <a:blip xmlns:r="http://schemas.openxmlformats.org/officeDocument/2006/relationships" r:embed="rId2"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3154680" y="487680"/>
          <a:ext cx="456590" cy="456590"/>
        </a:xfrm>
        <a:prstGeom prst="rect">
          <a:avLst/>
        </a:prstGeom>
      </xdr:spPr>
    </xdr:pic>
    <xdr:clientData/>
  </xdr:twoCellAnchor>
  <xdr:twoCellAnchor editAs="oneCell">
    <xdr:from>
      <xdr:col>8</xdr:col>
      <xdr:colOff>609600</xdr:colOff>
      <xdr:row>2</xdr:row>
      <xdr:rowOff>81534</xdr:rowOff>
    </xdr:from>
    <xdr:to>
      <xdr:col>9</xdr:col>
      <xdr:colOff>396240</xdr:colOff>
      <xdr:row>4</xdr:row>
      <xdr:rowOff>142494</xdr:rowOff>
    </xdr:to>
    <xdr:pic>
      <xdr:nvPicPr>
        <xdr:cNvPr id="16" name="Picture 15">
          <a:extLst>
            <a:ext uri="{FF2B5EF4-FFF2-40B4-BE49-F238E27FC236}">
              <a16:creationId xmlns:a16="http://schemas.microsoft.com/office/drawing/2014/main" id="{A14B3BE0-D19F-3E0D-4CF7-B0684CEB7064}"/>
            </a:ext>
          </a:extLst>
        </xdr:cNvPr>
        <xdr:cNvPicPr>
          <a:picLocks noChangeAspect="1"/>
        </xdr:cNvPicPr>
      </xdr:nvPicPr>
      <xdr:blipFill>
        <a:blip xmlns:r="http://schemas.openxmlformats.org/officeDocument/2006/relationships" r:embed="rId3"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5974080" y="477774"/>
          <a:ext cx="457200" cy="457200"/>
        </a:xfrm>
        <a:prstGeom prst="rect">
          <a:avLst/>
        </a:prstGeom>
      </xdr:spPr>
    </xdr:pic>
    <xdr:clientData/>
  </xdr:twoCellAnchor>
  <xdr:twoCellAnchor editAs="oneCell">
    <xdr:from>
      <xdr:col>4</xdr:col>
      <xdr:colOff>487680</xdr:colOff>
      <xdr:row>7</xdr:row>
      <xdr:rowOff>76200</xdr:rowOff>
    </xdr:from>
    <xdr:to>
      <xdr:col>5</xdr:col>
      <xdr:colOff>274320</xdr:colOff>
      <xdr:row>9</xdr:row>
      <xdr:rowOff>137160</xdr:rowOff>
    </xdr:to>
    <xdr:pic>
      <xdr:nvPicPr>
        <xdr:cNvPr id="18" name="Picture 17">
          <a:extLst>
            <a:ext uri="{FF2B5EF4-FFF2-40B4-BE49-F238E27FC236}">
              <a16:creationId xmlns:a16="http://schemas.microsoft.com/office/drawing/2014/main" id="{87366091-3204-D70C-53E1-94058C71F11E}"/>
            </a:ext>
          </a:extLst>
        </xdr:cNvPr>
        <xdr:cNvPicPr>
          <a:picLocks noChangeAspect="1"/>
        </xdr:cNvPicPr>
      </xdr:nvPicPr>
      <xdr:blipFill>
        <a:blip xmlns:r="http://schemas.openxmlformats.org/officeDocument/2006/relationships" r:embed="rId4"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3169920" y="1463040"/>
          <a:ext cx="457200" cy="457200"/>
        </a:xfrm>
        <a:prstGeom prst="rect">
          <a:avLst/>
        </a:prstGeom>
      </xdr:spPr>
    </xdr:pic>
    <xdr:clientData/>
  </xdr:twoCellAnchor>
  <xdr:twoCellAnchor editAs="oneCell">
    <xdr:from>
      <xdr:col>8</xdr:col>
      <xdr:colOff>647700</xdr:colOff>
      <xdr:row>7</xdr:row>
      <xdr:rowOff>22860</xdr:rowOff>
    </xdr:from>
    <xdr:to>
      <xdr:col>9</xdr:col>
      <xdr:colOff>434340</xdr:colOff>
      <xdr:row>9</xdr:row>
      <xdr:rowOff>83820</xdr:rowOff>
    </xdr:to>
    <xdr:pic>
      <xdr:nvPicPr>
        <xdr:cNvPr id="20" name="Picture 19">
          <a:extLst>
            <a:ext uri="{FF2B5EF4-FFF2-40B4-BE49-F238E27FC236}">
              <a16:creationId xmlns:a16="http://schemas.microsoft.com/office/drawing/2014/main" id="{C31BE2D9-28A5-0131-A804-BFB76D7F54B5}"/>
            </a:ext>
          </a:extLst>
        </xdr:cNvPr>
        <xdr:cNvPicPr>
          <a:picLocks noChangeAspect="1"/>
        </xdr:cNvPicPr>
      </xdr:nvPicPr>
      <xdr:blipFill>
        <a:blip xmlns:r="http://schemas.openxmlformats.org/officeDocument/2006/relationships" r:embed="rId5"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6012180" y="1409700"/>
          <a:ext cx="457200" cy="457200"/>
        </a:xfrm>
        <a:prstGeom prst="rect">
          <a:avLst/>
        </a:prstGeom>
      </xdr:spPr>
    </xdr:pic>
    <xdr:clientData/>
  </xdr:twoCellAnchor>
  <xdr:twoCellAnchor>
    <xdr:from>
      <xdr:col>6</xdr:col>
      <xdr:colOff>0</xdr:colOff>
      <xdr:row>1</xdr:row>
      <xdr:rowOff>190500</xdr:rowOff>
    </xdr:from>
    <xdr:to>
      <xdr:col>7</xdr:col>
      <xdr:colOff>525780</xdr:colOff>
      <xdr:row>3</xdr:row>
      <xdr:rowOff>7620</xdr:rowOff>
    </xdr:to>
    <xdr:sp macro="" textlink="">
      <xdr:nvSpPr>
        <xdr:cNvPr id="21" name="TextBox 20">
          <a:extLst>
            <a:ext uri="{FF2B5EF4-FFF2-40B4-BE49-F238E27FC236}">
              <a16:creationId xmlns:a16="http://schemas.microsoft.com/office/drawing/2014/main" id="{D2AB3E4E-D476-3CBC-8021-A453376E89ED}"/>
            </a:ext>
          </a:extLst>
        </xdr:cNvPr>
        <xdr:cNvSpPr txBox="1"/>
      </xdr:nvSpPr>
      <xdr:spPr>
        <a:xfrm>
          <a:off x="4023360" y="388620"/>
          <a:ext cx="11963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lumMod val="65000"/>
                  <a:lumOff val="35000"/>
                </a:schemeClr>
              </a:solidFill>
            </a:rPr>
            <a:t>TOTAL SALES</a:t>
          </a:r>
        </a:p>
      </xdr:txBody>
    </xdr:sp>
    <xdr:clientData/>
  </xdr:twoCellAnchor>
  <xdr:twoCellAnchor>
    <xdr:from>
      <xdr:col>5</xdr:col>
      <xdr:colOff>662940</xdr:colOff>
      <xdr:row>2</xdr:row>
      <xdr:rowOff>182880</xdr:rowOff>
    </xdr:from>
    <xdr:to>
      <xdr:col>7</xdr:col>
      <xdr:colOff>593652</xdr:colOff>
      <xdr:row>5</xdr:row>
      <xdr:rowOff>88605</xdr:rowOff>
    </xdr:to>
    <xdr:sp macro="" textlink="'Pivot Tables'!A5">
      <xdr:nvSpPr>
        <xdr:cNvPr id="22" name="TextBox 21">
          <a:extLst>
            <a:ext uri="{FF2B5EF4-FFF2-40B4-BE49-F238E27FC236}">
              <a16:creationId xmlns:a16="http://schemas.microsoft.com/office/drawing/2014/main" id="{1ACD4DE6-D1F6-18C3-88C1-711C19F0DEF2}"/>
            </a:ext>
          </a:extLst>
        </xdr:cNvPr>
        <xdr:cNvSpPr txBox="1"/>
      </xdr:nvSpPr>
      <xdr:spPr>
        <a:xfrm>
          <a:off x="4029917" y="572740"/>
          <a:ext cx="1277502" cy="490516"/>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0D305C1-E5DB-40FC-9DA1-BF7D95DD577E}" type="TxLink">
            <a:rPr lang="en-US" sz="3200" b="1" i="0" u="none" strike="noStrike">
              <a:solidFill>
                <a:schemeClr val="accent6">
                  <a:lumMod val="50000"/>
                </a:schemeClr>
              </a:solidFill>
              <a:latin typeface="Calibri"/>
              <a:ea typeface="Calibri"/>
              <a:cs typeface="Calibri"/>
            </a:rPr>
            <a:pPr marL="0" indent="0" algn="ctr"/>
            <a:t>$1.2M</a:t>
          </a:fld>
          <a:endParaRPr lang="en-IN" sz="3200" b="1" i="0" u="none" strike="noStrike">
            <a:solidFill>
              <a:schemeClr val="accent6">
                <a:lumMod val="50000"/>
              </a:schemeClr>
            </a:solidFill>
            <a:latin typeface="Calibri"/>
            <a:ea typeface="Calibri"/>
            <a:cs typeface="Calibri"/>
          </a:endParaRPr>
        </a:p>
      </xdr:txBody>
    </xdr:sp>
    <xdr:clientData/>
  </xdr:twoCellAnchor>
  <xdr:twoCellAnchor>
    <xdr:from>
      <xdr:col>10</xdr:col>
      <xdr:colOff>167640</xdr:colOff>
      <xdr:row>2</xdr:row>
      <xdr:rowOff>0</xdr:rowOff>
    </xdr:from>
    <xdr:to>
      <xdr:col>12</xdr:col>
      <xdr:colOff>22860</xdr:colOff>
      <xdr:row>3</xdr:row>
      <xdr:rowOff>15240</xdr:rowOff>
    </xdr:to>
    <xdr:sp macro="" textlink="">
      <xdr:nvSpPr>
        <xdr:cNvPr id="23" name="TextBox 22">
          <a:extLst>
            <a:ext uri="{FF2B5EF4-FFF2-40B4-BE49-F238E27FC236}">
              <a16:creationId xmlns:a16="http://schemas.microsoft.com/office/drawing/2014/main" id="{DBD3C091-1C15-D97F-20C2-C248DFE84628}"/>
            </a:ext>
          </a:extLst>
        </xdr:cNvPr>
        <xdr:cNvSpPr txBox="1"/>
      </xdr:nvSpPr>
      <xdr:spPr>
        <a:xfrm>
          <a:off x="6873240" y="396240"/>
          <a:ext cx="11963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lumMod val="65000"/>
                  <a:lumOff val="35000"/>
                </a:schemeClr>
              </a:solidFill>
            </a:rPr>
            <a:t>AVG.</a:t>
          </a:r>
          <a:r>
            <a:rPr lang="en-IN" sz="1200" b="1" baseline="0">
              <a:solidFill>
                <a:schemeClr val="tx1">
                  <a:lumMod val="65000"/>
                  <a:lumOff val="35000"/>
                </a:schemeClr>
              </a:solidFill>
            </a:rPr>
            <a:t> SALES</a:t>
          </a:r>
          <a:endParaRPr lang="en-IN" sz="1200" b="1">
            <a:solidFill>
              <a:schemeClr val="tx1">
                <a:lumMod val="65000"/>
                <a:lumOff val="35000"/>
              </a:schemeClr>
            </a:solidFill>
          </a:endParaRPr>
        </a:p>
      </xdr:txBody>
    </xdr:sp>
    <xdr:clientData/>
  </xdr:twoCellAnchor>
  <xdr:twoCellAnchor>
    <xdr:from>
      <xdr:col>9</xdr:col>
      <xdr:colOff>638484</xdr:colOff>
      <xdr:row>2</xdr:row>
      <xdr:rowOff>185362</xdr:rowOff>
    </xdr:from>
    <xdr:to>
      <xdr:col>12</xdr:col>
      <xdr:colOff>159488</xdr:colOff>
      <xdr:row>5</xdr:row>
      <xdr:rowOff>106327</xdr:rowOff>
    </xdr:to>
    <xdr:sp macro="" textlink="'Pivot Tables'!C5">
      <xdr:nvSpPr>
        <xdr:cNvPr id="24" name="TextBox 23">
          <a:extLst>
            <a:ext uri="{FF2B5EF4-FFF2-40B4-BE49-F238E27FC236}">
              <a16:creationId xmlns:a16="http://schemas.microsoft.com/office/drawing/2014/main" id="{72B8DD44-35DA-5617-FE08-F5EEEE4E376C}"/>
            </a:ext>
          </a:extLst>
        </xdr:cNvPr>
        <xdr:cNvSpPr txBox="1"/>
      </xdr:nvSpPr>
      <xdr:spPr>
        <a:xfrm>
          <a:off x="6699042" y="575222"/>
          <a:ext cx="1541190" cy="505756"/>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4277C4E-5FA3-454C-B624-382E9D8311A0}" type="TxLink">
            <a:rPr lang="en-US" sz="3200" b="1" i="0" u="none" strike="noStrike">
              <a:solidFill>
                <a:schemeClr val="accent6">
                  <a:lumMod val="50000"/>
                </a:schemeClr>
              </a:solidFill>
              <a:latin typeface="Calibri"/>
              <a:ea typeface="Calibri"/>
              <a:cs typeface="Calibri"/>
            </a:rPr>
            <a:pPr marL="0" indent="0" algn="ctr"/>
            <a:t>$140.99</a:t>
          </a:fld>
          <a:endParaRPr lang="en-IN" sz="3200" b="1" i="0" u="none" strike="noStrike">
            <a:solidFill>
              <a:schemeClr val="accent6">
                <a:lumMod val="50000"/>
              </a:schemeClr>
            </a:solidFill>
            <a:latin typeface="Calibri"/>
            <a:ea typeface="Calibri"/>
            <a:cs typeface="Calibri"/>
          </a:endParaRPr>
        </a:p>
      </xdr:txBody>
    </xdr:sp>
    <xdr:clientData/>
  </xdr:twoCellAnchor>
  <xdr:twoCellAnchor>
    <xdr:from>
      <xdr:col>10</xdr:col>
      <xdr:colOff>198120</xdr:colOff>
      <xdr:row>6</xdr:row>
      <xdr:rowOff>152400</xdr:rowOff>
    </xdr:from>
    <xdr:to>
      <xdr:col>12</xdr:col>
      <xdr:colOff>53340</xdr:colOff>
      <xdr:row>7</xdr:row>
      <xdr:rowOff>167640</xdr:rowOff>
    </xdr:to>
    <xdr:sp macro="" textlink="">
      <xdr:nvSpPr>
        <xdr:cNvPr id="25" name="TextBox 24">
          <a:extLst>
            <a:ext uri="{FF2B5EF4-FFF2-40B4-BE49-F238E27FC236}">
              <a16:creationId xmlns:a16="http://schemas.microsoft.com/office/drawing/2014/main" id="{0E8C6DEA-D169-E3A7-D95F-BC62233310F0}"/>
            </a:ext>
          </a:extLst>
        </xdr:cNvPr>
        <xdr:cNvSpPr txBox="1"/>
      </xdr:nvSpPr>
      <xdr:spPr>
        <a:xfrm>
          <a:off x="6903720" y="1341120"/>
          <a:ext cx="11963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lumMod val="65000"/>
                  <a:lumOff val="35000"/>
                </a:schemeClr>
              </a:solidFill>
            </a:rPr>
            <a:t>AVG.</a:t>
          </a:r>
          <a:r>
            <a:rPr lang="en-IN" sz="1200" b="1" baseline="0">
              <a:solidFill>
                <a:schemeClr val="tx1">
                  <a:lumMod val="65000"/>
                  <a:lumOff val="35000"/>
                </a:schemeClr>
              </a:solidFill>
            </a:rPr>
            <a:t> RATING</a:t>
          </a:r>
          <a:endParaRPr lang="en-IN" sz="1200" b="1">
            <a:solidFill>
              <a:schemeClr val="tx1">
                <a:lumMod val="65000"/>
                <a:lumOff val="35000"/>
              </a:schemeClr>
            </a:solidFill>
          </a:endParaRPr>
        </a:p>
      </xdr:txBody>
    </xdr:sp>
    <xdr:clientData/>
  </xdr:twoCellAnchor>
  <xdr:twoCellAnchor>
    <xdr:from>
      <xdr:col>10</xdr:col>
      <xdr:colOff>108098</xdr:colOff>
      <xdr:row>7</xdr:row>
      <xdr:rowOff>124046</xdr:rowOff>
    </xdr:from>
    <xdr:to>
      <xdr:col>12</xdr:col>
      <xdr:colOff>62023</xdr:colOff>
      <xdr:row>10</xdr:row>
      <xdr:rowOff>35442</xdr:rowOff>
    </xdr:to>
    <xdr:sp macro="" textlink="'Pivot Tables'!G5">
      <xdr:nvSpPr>
        <xdr:cNvPr id="26" name="TextBox 25">
          <a:extLst>
            <a:ext uri="{FF2B5EF4-FFF2-40B4-BE49-F238E27FC236}">
              <a16:creationId xmlns:a16="http://schemas.microsoft.com/office/drawing/2014/main" id="{48E52B3E-3DB9-5B7C-F89C-D6278CD75634}"/>
            </a:ext>
          </a:extLst>
        </xdr:cNvPr>
        <xdr:cNvSpPr txBox="1"/>
      </xdr:nvSpPr>
      <xdr:spPr>
        <a:xfrm>
          <a:off x="6842051" y="1488558"/>
          <a:ext cx="1300716" cy="496186"/>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A744204-8A7E-4269-9ADE-AFF9E66B4C5B}" type="TxLink">
            <a:rPr lang="en-US" sz="3200" b="1" i="0" u="none" strike="noStrike">
              <a:solidFill>
                <a:schemeClr val="accent6">
                  <a:lumMod val="50000"/>
                </a:schemeClr>
              </a:solidFill>
              <a:latin typeface="Calibri"/>
              <a:ea typeface="Calibri"/>
              <a:cs typeface="Calibri"/>
            </a:rPr>
            <a:pPr marL="0" indent="0" algn="ctr"/>
            <a:t>4.0</a:t>
          </a:fld>
          <a:endParaRPr lang="en-IN" sz="3200" b="1" i="0" u="none" strike="noStrike">
            <a:solidFill>
              <a:schemeClr val="accent6">
                <a:lumMod val="50000"/>
              </a:schemeClr>
            </a:solidFill>
            <a:latin typeface="Calibri"/>
            <a:ea typeface="Calibri"/>
            <a:cs typeface="Calibri"/>
          </a:endParaRPr>
        </a:p>
      </xdr:txBody>
    </xdr:sp>
    <xdr:clientData/>
  </xdr:twoCellAnchor>
  <xdr:twoCellAnchor>
    <xdr:from>
      <xdr:col>6</xdr:col>
      <xdr:colOff>30480</xdr:colOff>
      <xdr:row>6</xdr:row>
      <xdr:rowOff>175260</xdr:rowOff>
    </xdr:from>
    <xdr:to>
      <xdr:col>7</xdr:col>
      <xdr:colOff>556260</xdr:colOff>
      <xdr:row>7</xdr:row>
      <xdr:rowOff>190500</xdr:rowOff>
    </xdr:to>
    <xdr:sp macro="" textlink="">
      <xdr:nvSpPr>
        <xdr:cNvPr id="27" name="TextBox 26">
          <a:extLst>
            <a:ext uri="{FF2B5EF4-FFF2-40B4-BE49-F238E27FC236}">
              <a16:creationId xmlns:a16="http://schemas.microsoft.com/office/drawing/2014/main" id="{514AAA38-7E3D-A06A-E93F-02919FF36312}"/>
            </a:ext>
          </a:extLst>
        </xdr:cNvPr>
        <xdr:cNvSpPr txBox="1"/>
      </xdr:nvSpPr>
      <xdr:spPr>
        <a:xfrm>
          <a:off x="4053840" y="1363980"/>
          <a:ext cx="11963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lumMod val="65000"/>
                  <a:lumOff val="35000"/>
                </a:schemeClr>
              </a:solidFill>
            </a:rPr>
            <a:t>NO.</a:t>
          </a:r>
          <a:r>
            <a:rPr lang="en-IN" sz="1200" b="1" baseline="0">
              <a:solidFill>
                <a:schemeClr val="tx1">
                  <a:lumMod val="65000"/>
                  <a:lumOff val="35000"/>
                </a:schemeClr>
              </a:solidFill>
            </a:rPr>
            <a:t> OF. ITEMS</a:t>
          </a:r>
          <a:endParaRPr lang="en-IN" sz="1200" b="1">
            <a:solidFill>
              <a:schemeClr val="tx1">
                <a:lumMod val="65000"/>
                <a:lumOff val="35000"/>
              </a:schemeClr>
            </a:solidFill>
          </a:endParaRPr>
        </a:p>
      </xdr:txBody>
    </xdr:sp>
    <xdr:clientData/>
  </xdr:twoCellAnchor>
  <xdr:twoCellAnchor>
    <xdr:from>
      <xdr:col>6</xdr:col>
      <xdr:colOff>0</xdr:colOff>
      <xdr:row>7</xdr:row>
      <xdr:rowOff>141057</xdr:rowOff>
    </xdr:from>
    <xdr:to>
      <xdr:col>7</xdr:col>
      <xdr:colOff>525780</xdr:colOff>
      <xdr:row>10</xdr:row>
      <xdr:rowOff>17720</xdr:rowOff>
    </xdr:to>
    <xdr:sp macro="" textlink="'Pivot Tables'!E5">
      <xdr:nvSpPr>
        <xdr:cNvPr id="28" name="TextBox 27">
          <a:extLst>
            <a:ext uri="{FF2B5EF4-FFF2-40B4-BE49-F238E27FC236}">
              <a16:creationId xmlns:a16="http://schemas.microsoft.com/office/drawing/2014/main" id="{4B1295C2-4106-E6E7-AA1A-979AD3694174}"/>
            </a:ext>
          </a:extLst>
        </xdr:cNvPr>
        <xdr:cNvSpPr txBox="1"/>
      </xdr:nvSpPr>
      <xdr:spPr>
        <a:xfrm>
          <a:off x="4040372" y="1505569"/>
          <a:ext cx="1199175" cy="461453"/>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FD766C7-33D7-4729-BC6F-0B46C1237ACA}" type="TxLink">
            <a:rPr lang="en-US" sz="3200" b="1" i="0" u="none" strike="noStrike">
              <a:solidFill>
                <a:schemeClr val="accent6">
                  <a:lumMod val="50000"/>
                </a:schemeClr>
              </a:solidFill>
              <a:latin typeface="Calibri"/>
              <a:ea typeface="Calibri"/>
              <a:cs typeface="Calibri"/>
            </a:rPr>
            <a:pPr marL="0" indent="0" algn="ctr"/>
            <a:t>8523</a:t>
          </a:fld>
          <a:endParaRPr lang="en-IN" sz="3200" b="1" i="0" u="none" strike="noStrike">
            <a:solidFill>
              <a:schemeClr val="accent6">
                <a:lumMod val="50000"/>
              </a:schemeClr>
            </a:solidFill>
            <a:latin typeface="Calibri"/>
            <a:ea typeface="Calibri"/>
            <a:cs typeface="Calibri"/>
          </a:endParaRPr>
        </a:p>
      </xdr:txBody>
    </xdr:sp>
    <xdr:clientData/>
  </xdr:twoCellAnchor>
  <xdr:twoCellAnchor>
    <xdr:from>
      <xdr:col>8</xdr:col>
      <xdr:colOff>449580</xdr:colOff>
      <xdr:row>11</xdr:row>
      <xdr:rowOff>129540</xdr:rowOff>
    </xdr:from>
    <xdr:to>
      <xdr:col>8</xdr:col>
      <xdr:colOff>464820</xdr:colOff>
      <xdr:row>30</xdr:row>
      <xdr:rowOff>121920</xdr:rowOff>
    </xdr:to>
    <xdr:cxnSp macro="">
      <xdr:nvCxnSpPr>
        <xdr:cNvPr id="30" name="Straight Connector 29">
          <a:extLst>
            <a:ext uri="{FF2B5EF4-FFF2-40B4-BE49-F238E27FC236}">
              <a16:creationId xmlns:a16="http://schemas.microsoft.com/office/drawing/2014/main" id="{BA617495-9024-F6FE-5F79-A07C171C17B0}"/>
            </a:ext>
          </a:extLst>
        </xdr:cNvPr>
        <xdr:cNvCxnSpPr/>
      </xdr:nvCxnSpPr>
      <xdr:spPr>
        <a:xfrm flipH="1" flipV="1">
          <a:off x="5814060" y="2308860"/>
          <a:ext cx="15240" cy="3756660"/>
        </a:xfrm>
        <a:prstGeom prst="line">
          <a:avLst/>
        </a:prstGeom>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4</xdr:col>
      <xdr:colOff>392430</xdr:colOff>
      <xdr:row>21</xdr:row>
      <xdr:rowOff>7620</xdr:rowOff>
    </xdr:from>
    <xdr:to>
      <xdr:col>8</xdr:col>
      <xdr:colOff>392190</xdr:colOff>
      <xdr:row>21</xdr:row>
      <xdr:rowOff>19050</xdr:rowOff>
    </xdr:to>
    <xdr:cxnSp macro="">
      <xdr:nvCxnSpPr>
        <xdr:cNvPr id="34" name="Straight Connector 33">
          <a:extLst>
            <a:ext uri="{FF2B5EF4-FFF2-40B4-BE49-F238E27FC236}">
              <a16:creationId xmlns:a16="http://schemas.microsoft.com/office/drawing/2014/main" id="{487E04C5-6FF4-46D7-BE3A-3E60AF5F9501}"/>
            </a:ext>
          </a:extLst>
        </xdr:cNvPr>
        <xdr:cNvCxnSpPr/>
      </xdr:nvCxnSpPr>
      <xdr:spPr>
        <a:xfrm flipH="1">
          <a:off x="3074670" y="4168140"/>
          <a:ext cx="2682000" cy="11430"/>
        </a:xfrm>
        <a:prstGeom prst="line">
          <a:avLst/>
        </a:prstGeom>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4</xdr:col>
      <xdr:colOff>381000</xdr:colOff>
      <xdr:row>11</xdr:row>
      <xdr:rowOff>7620</xdr:rowOff>
    </xdr:from>
    <xdr:to>
      <xdr:col>8</xdr:col>
      <xdr:colOff>388620</xdr:colOff>
      <xdr:row>20</xdr:row>
      <xdr:rowOff>152400</xdr:rowOff>
    </xdr:to>
    <xdr:graphicFrame macro="">
      <xdr:nvGraphicFramePr>
        <xdr:cNvPr id="4" name="Chart 3">
          <a:extLst>
            <a:ext uri="{FF2B5EF4-FFF2-40B4-BE49-F238E27FC236}">
              <a16:creationId xmlns:a16="http://schemas.microsoft.com/office/drawing/2014/main" id="{849E12F4-2093-4223-A615-6E69AC364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472440</xdr:colOff>
      <xdr:row>11</xdr:row>
      <xdr:rowOff>15240</xdr:rowOff>
    </xdr:from>
    <xdr:to>
      <xdr:col>12</xdr:col>
      <xdr:colOff>457200</xdr:colOff>
      <xdr:row>31</xdr:row>
      <xdr:rowOff>91440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1950AF3D-E2C4-49B8-8496-8BD3FCC291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836920" y="2194560"/>
              <a:ext cx="2667000" cy="4038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396240</xdr:colOff>
      <xdr:row>21</xdr:row>
      <xdr:rowOff>38100</xdr:rowOff>
    </xdr:from>
    <xdr:to>
      <xdr:col>8</xdr:col>
      <xdr:colOff>388620</xdr:colOff>
      <xdr:row>31</xdr:row>
      <xdr:rowOff>91440</xdr:rowOff>
    </xdr:to>
    <xdr:graphicFrame macro="">
      <xdr:nvGraphicFramePr>
        <xdr:cNvPr id="13" name="Chart 12">
          <a:extLst>
            <a:ext uri="{FF2B5EF4-FFF2-40B4-BE49-F238E27FC236}">
              <a16:creationId xmlns:a16="http://schemas.microsoft.com/office/drawing/2014/main" id="{A5EFE18E-728F-4759-9D16-64FE2C29E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586740</xdr:colOff>
      <xdr:row>1</xdr:row>
      <xdr:rowOff>120832</xdr:rowOff>
    </xdr:from>
    <xdr:to>
      <xdr:col>19</xdr:col>
      <xdr:colOff>584548</xdr:colOff>
      <xdr:row>11</xdr:row>
      <xdr:rowOff>44632</xdr:rowOff>
    </xdr:to>
    <xdr:graphicFrame macro="">
      <xdr:nvGraphicFramePr>
        <xdr:cNvPr id="15" name="Chart 14">
          <a:extLst>
            <a:ext uri="{FF2B5EF4-FFF2-40B4-BE49-F238E27FC236}">
              <a16:creationId xmlns:a16="http://schemas.microsoft.com/office/drawing/2014/main" id="{404AE0F1-99F6-4210-A702-92B7E1EBD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659130</xdr:colOff>
      <xdr:row>10</xdr:row>
      <xdr:rowOff>156210</xdr:rowOff>
    </xdr:from>
    <xdr:to>
      <xdr:col>19</xdr:col>
      <xdr:colOff>548640</xdr:colOff>
      <xdr:row>10</xdr:row>
      <xdr:rowOff>160020</xdr:rowOff>
    </xdr:to>
    <xdr:cxnSp macro="">
      <xdr:nvCxnSpPr>
        <xdr:cNvPr id="19" name="Straight Connector 18">
          <a:extLst>
            <a:ext uri="{FF2B5EF4-FFF2-40B4-BE49-F238E27FC236}">
              <a16:creationId xmlns:a16="http://schemas.microsoft.com/office/drawing/2014/main" id="{931E17AC-EC79-4875-AF0A-F573782CBA50}"/>
            </a:ext>
          </a:extLst>
        </xdr:cNvPr>
        <xdr:cNvCxnSpPr/>
      </xdr:nvCxnSpPr>
      <xdr:spPr>
        <a:xfrm flipH="1" flipV="1">
          <a:off x="8705850" y="2137410"/>
          <a:ext cx="4583430" cy="3810"/>
        </a:xfrm>
        <a:prstGeom prst="line">
          <a:avLst/>
        </a:prstGeom>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12</xdr:col>
      <xdr:colOff>651510</xdr:colOff>
      <xdr:row>21</xdr:row>
      <xdr:rowOff>19050</xdr:rowOff>
    </xdr:from>
    <xdr:to>
      <xdr:col>19</xdr:col>
      <xdr:colOff>541020</xdr:colOff>
      <xdr:row>21</xdr:row>
      <xdr:rowOff>22860</xdr:rowOff>
    </xdr:to>
    <xdr:cxnSp macro="">
      <xdr:nvCxnSpPr>
        <xdr:cNvPr id="32" name="Straight Connector 31">
          <a:extLst>
            <a:ext uri="{FF2B5EF4-FFF2-40B4-BE49-F238E27FC236}">
              <a16:creationId xmlns:a16="http://schemas.microsoft.com/office/drawing/2014/main" id="{B7E553DF-1EB2-49AF-A8DE-8796D8797E9A}"/>
            </a:ext>
          </a:extLst>
        </xdr:cNvPr>
        <xdr:cNvCxnSpPr/>
      </xdr:nvCxnSpPr>
      <xdr:spPr>
        <a:xfrm flipH="1" flipV="1">
          <a:off x="8698230" y="4179570"/>
          <a:ext cx="4583430" cy="3810"/>
        </a:xfrm>
        <a:prstGeom prst="line">
          <a:avLst/>
        </a:prstGeom>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16</xdr:col>
      <xdr:colOff>220980</xdr:colOff>
      <xdr:row>11</xdr:row>
      <xdr:rowOff>53340</xdr:rowOff>
    </xdr:from>
    <xdr:to>
      <xdr:col>16</xdr:col>
      <xdr:colOff>220980</xdr:colOff>
      <xdr:row>20</xdr:row>
      <xdr:rowOff>144780</xdr:rowOff>
    </xdr:to>
    <xdr:cxnSp macro="">
      <xdr:nvCxnSpPr>
        <xdr:cNvPr id="33" name="Straight Connector 32">
          <a:extLst>
            <a:ext uri="{FF2B5EF4-FFF2-40B4-BE49-F238E27FC236}">
              <a16:creationId xmlns:a16="http://schemas.microsoft.com/office/drawing/2014/main" id="{EE3519F9-93FB-49EA-95D2-471C99D8637E}"/>
            </a:ext>
          </a:extLst>
        </xdr:cNvPr>
        <xdr:cNvCxnSpPr/>
      </xdr:nvCxnSpPr>
      <xdr:spPr>
        <a:xfrm flipV="1">
          <a:off x="10949940" y="2232660"/>
          <a:ext cx="0" cy="1874520"/>
        </a:xfrm>
        <a:prstGeom prst="line">
          <a:avLst/>
        </a:prstGeom>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12</xdr:col>
      <xdr:colOff>640080</xdr:colOff>
      <xdr:row>11</xdr:row>
      <xdr:rowOff>68580</xdr:rowOff>
    </xdr:from>
    <xdr:to>
      <xdr:col>16</xdr:col>
      <xdr:colOff>182880</xdr:colOff>
      <xdr:row>20</xdr:row>
      <xdr:rowOff>190500</xdr:rowOff>
    </xdr:to>
    <xdr:graphicFrame macro="">
      <xdr:nvGraphicFramePr>
        <xdr:cNvPr id="38" name="Chart 37">
          <a:extLst>
            <a:ext uri="{FF2B5EF4-FFF2-40B4-BE49-F238E27FC236}">
              <a16:creationId xmlns:a16="http://schemas.microsoft.com/office/drawing/2014/main" id="{97AEB167-B81E-4330-B310-51682D860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228600</xdr:colOff>
      <xdr:row>10</xdr:row>
      <xdr:rowOff>167640</xdr:rowOff>
    </xdr:from>
    <xdr:to>
      <xdr:col>19</xdr:col>
      <xdr:colOff>556260</xdr:colOff>
      <xdr:row>21</xdr:row>
      <xdr:rowOff>7620</xdr:rowOff>
    </xdr:to>
    <mc:AlternateContent xmlns:mc="http://schemas.openxmlformats.org/markup-compatibility/2006">
      <mc:Choice xmlns:cx2="http://schemas.microsoft.com/office/drawing/2015/10/21/chartex" Requires="cx2">
        <xdr:graphicFrame macro="">
          <xdr:nvGraphicFramePr>
            <xdr:cNvPr id="39" name="Chart 38">
              <a:extLst>
                <a:ext uri="{FF2B5EF4-FFF2-40B4-BE49-F238E27FC236}">
                  <a16:creationId xmlns:a16="http://schemas.microsoft.com/office/drawing/2014/main" id="{7D5E6928-3597-4A62-9449-A6CEBB3544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0957560" y="2148840"/>
              <a:ext cx="2339340" cy="2019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579120</xdr:colOff>
      <xdr:row>20</xdr:row>
      <xdr:rowOff>83820</xdr:rowOff>
    </xdr:from>
    <xdr:to>
      <xdr:col>15</xdr:col>
      <xdr:colOff>266700</xdr:colOff>
      <xdr:row>30</xdr:row>
      <xdr:rowOff>190500</xdr:rowOff>
    </xdr:to>
    <xdr:graphicFrame macro="">
      <xdr:nvGraphicFramePr>
        <xdr:cNvPr id="40" name="Chart 39">
          <a:extLst>
            <a:ext uri="{FF2B5EF4-FFF2-40B4-BE49-F238E27FC236}">
              <a16:creationId xmlns:a16="http://schemas.microsoft.com/office/drawing/2014/main" id="{0508CFBC-2026-4F8C-AEA3-F58814EB8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160020</xdr:colOff>
      <xdr:row>21</xdr:row>
      <xdr:rowOff>182880</xdr:rowOff>
    </xdr:from>
    <xdr:to>
      <xdr:col>17</xdr:col>
      <xdr:colOff>572100</xdr:colOff>
      <xdr:row>31</xdr:row>
      <xdr:rowOff>30480</xdr:rowOff>
    </xdr:to>
    <xdr:graphicFrame macro="">
      <xdr:nvGraphicFramePr>
        <xdr:cNvPr id="42" name="Chart 41">
          <a:extLst>
            <a:ext uri="{FF2B5EF4-FFF2-40B4-BE49-F238E27FC236}">
              <a16:creationId xmlns:a16="http://schemas.microsoft.com/office/drawing/2014/main" id="{8308911E-F3C8-4A3E-A703-131C26F52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350520</xdr:colOff>
      <xdr:row>21</xdr:row>
      <xdr:rowOff>182880</xdr:rowOff>
    </xdr:from>
    <xdr:to>
      <xdr:col>19</xdr:col>
      <xdr:colOff>617220</xdr:colOff>
      <xdr:row>31</xdr:row>
      <xdr:rowOff>45720</xdr:rowOff>
    </xdr:to>
    <xdr:graphicFrame macro="">
      <xdr:nvGraphicFramePr>
        <xdr:cNvPr id="29" name="Chart 28">
          <a:extLst>
            <a:ext uri="{FF2B5EF4-FFF2-40B4-BE49-F238E27FC236}">
              <a16:creationId xmlns:a16="http://schemas.microsoft.com/office/drawing/2014/main" id="{A51A085D-4907-4968-BB87-2964B1FB1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594360</xdr:colOff>
      <xdr:row>30</xdr:row>
      <xdr:rowOff>99060</xdr:rowOff>
    </xdr:from>
    <xdr:to>
      <xdr:col>15</xdr:col>
      <xdr:colOff>289560</xdr:colOff>
      <xdr:row>31</xdr:row>
      <xdr:rowOff>152400</xdr:rowOff>
    </xdr:to>
    <xdr:sp macro="" textlink="">
      <xdr:nvSpPr>
        <xdr:cNvPr id="31" name="TextBox 30">
          <a:extLst>
            <a:ext uri="{FF2B5EF4-FFF2-40B4-BE49-F238E27FC236}">
              <a16:creationId xmlns:a16="http://schemas.microsoft.com/office/drawing/2014/main" id="{9223DC17-97A1-A302-1933-F66546A40D31}"/>
            </a:ext>
          </a:extLst>
        </xdr:cNvPr>
        <xdr:cNvSpPr txBox="1"/>
      </xdr:nvSpPr>
      <xdr:spPr>
        <a:xfrm>
          <a:off x="9311640" y="6042660"/>
          <a:ext cx="10363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tx1">
                  <a:lumMod val="65000"/>
                  <a:lumOff val="35000"/>
                </a:schemeClr>
              </a:solidFill>
            </a:rPr>
            <a:t>TOTAL SALES</a:t>
          </a:r>
        </a:p>
      </xdr:txBody>
    </xdr:sp>
    <xdr:clientData/>
  </xdr:twoCellAnchor>
  <xdr:twoCellAnchor>
    <xdr:from>
      <xdr:col>15</xdr:col>
      <xdr:colOff>632460</xdr:colOff>
      <xdr:row>30</xdr:row>
      <xdr:rowOff>99060</xdr:rowOff>
    </xdr:from>
    <xdr:to>
      <xdr:col>17</xdr:col>
      <xdr:colOff>327660</xdr:colOff>
      <xdr:row>31</xdr:row>
      <xdr:rowOff>152400</xdr:rowOff>
    </xdr:to>
    <xdr:sp macro="" textlink="">
      <xdr:nvSpPr>
        <xdr:cNvPr id="35" name="TextBox 34">
          <a:extLst>
            <a:ext uri="{FF2B5EF4-FFF2-40B4-BE49-F238E27FC236}">
              <a16:creationId xmlns:a16="http://schemas.microsoft.com/office/drawing/2014/main" id="{DD287060-3780-6B98-EF41-92112BD7563F}"/>
            </a:ext>
          </a:extLst>
        </xdr:cNvPr>
        <xdr:cNvSpPr txBox="1"/>
      </xdr:nvSpPr>
      <xdr:spPr>
        <a:xfrm>
          <a:off x="10690860" y="6042660"/>
          <a:ext cx="10363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tx1">
                  <a:lumMod val="65000"/>
                  <a:lumOff val="35000"/>
                </a:schemeClr>
              </a:solidFill>
            </a:rPr>
            <a:t>AVG SALES</a:t>
          </a:r>
        </a:p>
      </xdr:txBody>
    </xdr:sp>
    <xdr:clientData/>
  </xdr:twoCellAnchor>
  <xdr:twoCellAnchor>
    <xdr:from>
      <xdr:col>17</xdr:col>
      <xdr:colOff>632460</xdr:colOff>
      <xdr:row>30</xdr:row>
      <xdr:rowOff>99060</xdr:rowOff>
    </xdr:from>
    <xdr:to>
      <xdr:col>19</xdr:col>
      <xdr:colOff>327660</xdr:colOff>
      <xdr:row>31</xdr:row>
      <xdr:rowOff>152400</xdr:rowOff>
    </xdr:to>
    <xdr:sp macro="" textlink="">
      <xdr:nvSpPr>
        <xdr:cNvPr id="36" name="TextBox 35">
          <a:extLst>
            <a:ext uri="{FF2B5EF4-FFF2-40B4-BE49-F238E27FC236}">
              <a16:creationId xmlns:a16="http://schemas.microsoft.com/office/drawing/2014/main" id="{6C4230F1-4851-596B-C7CC-5E1CC5E72DA9}"/>
            </a:ext>
          </a:extLst>
        </xdr:cNvPr>
        <xdr:cNvSpPr txBox="1"/>
      </xdr:nvSpPr>
      <xdr:spPr>
        <a:xfrm>
          <a:off x="12031980" y="6042660"/>
          <a:ext cx="10363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tx1">
                  <a:lumMod val="65000"/>
                  <a:lumOff val="35000"/>
                </a:schemeClr>
              </a:solidFill>
            </a:rPr>
            <a:t>TOTAL COUNT</a:t>
          </a:r>
        </a:p>
      </xdr:txBody>
    </xdr:sp>
    <xdr:clientData/>
  </xdr:twoCellAnchor>
  <xdr:twoCellAnchor editAs="oneCell">
    <xdr:from>
      <xdr:col>1</xdr:col>
      <xdr:colOff>97465</xdr:colOff>
      <xdr:row>19</xdr:row>
      <xdr:rowOff>177202</xdr:rowOff>
    </xdr:from>
    <xdr:to>
      <xdr:col>4</xdr:col>
      <xdr:colOff>240001</xdr:colOff>
      <xdr:row>28</xdr:row>
      <xdr:rowOff>198322</xdr:rowOff>
    </xdr:to>
    <mc:AlternateContent xmlns:mc="http://schemas.openxmlformats.org/markup-compatibility/2006" xmlns:a14="http://schemas.microsoft.com/office/drawing/2010/main">
      <mc:Choice Requires="a14">
        <xdr:graphicFrame macro="">
          <xdr:nvGraphicFramePr>
            <xdr:cNvPr id="37" name="Item Type">
              <a:extLst>
                <a:ext uri="{FF2B5EF4-FFF2-40B4-BE49-F238E27FC236}">
                  <a16:creationId xmlns:a16="http://schemas.microsoft.com/office/drawing/2014/main" id="{302335BA-9E01-4615-9508-41D1D3B994B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65520" y="3945449"/>
              <a:ext cx="2146700" cy="1806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97465</xdr:colOff>
      <xdr:row>13</xdr:row>
      <xdr:rowOff>116762</xdr:rowOff>
    </xdr:from>
    <xdr:to>
      <xdr:col>4</xdr:col>
      <xdr:colOff>238901</xdr:colOff>
      <xdr:row>19</xdr:row>
      <xdr:rowOff>169925</xdr:rowOff>
    </xdr:to>
    <mc:AlternateContent xmlns:mc="http://schemas.openxmlformats.org/markup-compatibility/2006" xmlns:a14="http://schemas.microsoft.com/office/drawing/2010/main">
      <mc:Choice Requires="a14">
        <xdr:graphicFrame macro="">
          <xdr:nvGraphicFramePr>
            <xdr:cNvPr id="41" name="Outlet Location Type">
              <a:extLst>
                <a:ext uri="{FF2B5EF4-FFF2-40B4-BE49-F238E27FC236}">
                  <a16:creationId xmlns:a16="http://schemas.microsoft.com/office/drawing/2014/main" id="{41229B08-2488-42A0-869C-370D1A86764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65520" y="2695036"/>
              <a:ext cx="2145600" cy="12431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97465</xdr:colOff>
      <xdr:row>7</xdr:row>
      <xdr:rowOff>56312</xdr:rowOff>
    </xdr:from>
    <xdr:to>
      <xdr:col>4</xdr:col>
      <xdr:colOff>238901</xdr:colOff>
      <xdr:row>13</xdr:row>
      <xdr:rowOff>118334</xdr:rowOff>
    </xdr:to>
    <mc:AlternateContent xmlns:mc="http://schemas.openxmlformats.org/markup-compatibility/2006" xmlns:a14="http://schemas.microsoft.com/office/drawing/2010/main">
      <mc:Choice Requires="a14">
        <xdr:graphicFrame macro="">
          <xdr:nvGraphicFramePr>
            <xdr:cNvPr id="43" name="Outlet Size">
              <a:extLst>
                <a:ext uri="{FF2B5EF4-FFF2-40B4-BE49-F238E27FC236}">
                  <a16:creationId xmlns:a16="http://schemas.microsoft.com/office/drawing/2014/main" id="{E2C0E27F-71C2-4A4A-BC72-D1D1BC3E41D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765520" y="1444613"/>
              <a:ext cx="2145600" cy="1251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417535</xdr:colOff>
      <xdr:row>5</xdr:row>
      <xdr:rowOff>144047</xdr:rowOff>
    </xdr:from>
    <xdr:to>
      <xdr:col>2</xdr:col>
      <xdr:colOff>31316</xdr:colOff>
      <xdr:row>7</xdr:row>
      <xdr:rowOff>29226</xdr:rowOff>
    </xdr:to>
    <xdr:pic>
      <xdr:nvPicPr>
        <xdr:cNvPr id="45" name="Picture 44">
          <a:extLst>
            <a:ext uri="{FF2B5EF4-FFF2-40B4-BE49-F238E27FC236}">
              <a16:creationId xmlns:a16="http://schemas.microsoft.com/office/drawing/2014/main" id="{3C5B953A-AED3-62EE-D95B-2C60148C0837}"/>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85590" y="1135691"/>
          <a:ext cx="281836" cy="281836"/>
        </a:xfrm>
        <a:prstGeom prst="rect">
          <a:avLst/>
        </a:prstGeom>
      </xdr:spPr>
    </xdr:pic>
    <xdr:clientData/>
  </xdr:twoCellAnchor>
  <xdr:twoCellAnchor>
    <xdr:from>
      <xdr:col>1</xdr:col>
      <xdr:colOff>564924</xdr:colOff>
      <xdr:row>5</xdr:row>
      <xdr:rowOff>150105</xdr:rowOff>
    </xdr:from>
    <xdr:to>
      <xdr:col>3</xdr:col>
      <xdr:colOff>584549</xdr:colOff>
      <xdr:row>7</xdr:row>
      <xdr:rowOff>41754</xdr:rowOff>
    </xdr:to>
    <xdr:sp macro="" textlink="">
      <xdr:nvSpPr>
        <xdr:cNvPr id="46" name="TextBox 45">
          <a:extLst>
            <a:ext uri="{FF2B5EF4-FFF2-40B4-BE49-F238E27FC236}">
              <a16:creationId xmlns:a16="http://schemas.microsoft.com/office/drawing/2014/main" id="{7E11749E-2637-6D2E-99E9-8BCE033D4224}"/>
            </a:ext>
          </a:extLst>
        </xdr:cNvPr>
        <xdr:cNvSpPr txBox="1"/>
      </xdr:nvSpPr>
      <xdr:spPr>
        <a:xfrm>
          <a:off x="1232979" y="1141749"/>
          <a:ext cx="1355734" cy="288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lumMod val="75000"/>
                </a:schemeClr>
              </a:solidFill>
            </a:rPr>
            <a:t>FILTER</a:t>
          </a:r>
          <a:r>
            <a:rPr lang="en-IN" sz="1400" b="1" baseline="0">
              <a:solidFill>
                <a:schemeClr val="accent6">
                  <a:lumMod val="75000"/>
                </a:schemeClr>
              </a:solidFill>
            </a:rPr>
            <a:t> PANEL</a:t>
          </a:r>
          <a:endParaRPr lang="en-IN" sz="1400" b="1">
            <a:solidFill>
              <a:schemeClr val="accent6">
                <a:lumMod val="75000"/>
              </a:schemeClr>
            </a:solidFill>
          </a:endParaRPr>
        </a:p>
      </xdr:txBody>
    </xdr:sp>
    <xdr:clientData/>
  </xdr:twoCellAnchor>
  <xdr:twoCellAnchor editAs="oneCell">
    <xdr:from>
      <xdr:col>1</xdr:col>
      <xdr:colOff>438410</xdr:colOff>
      <xdr:row>29</xdr:row>
      <xdr:rowOff>62631</xdr:rowOff>
    </xdr:from>
    <xdr:to>
      <xdr:col>2</xdr:col>
      <xdr:colOff>184355</xdr:colOff>
      <xdr:row>31</xdr:row>
      <xdr:rowOff>79973</xdr:rowOff>
    </xdr:to>
    <xdr:pic>
      <xdr:nvPicPr>
        <xdr:cNvPr id="48" name="Picture 47">
          <a:hlinkClick xmlns:r="http://schemas.openxmlformats.org/officeDocument/2006/relationships" r:id="rId16"/>
          <a:extLst>
            <a:ext uri="{FF2B5EF4-FFF2-40B4-BE49-F238E27FC236}">
              <a16:creationId xmlns:a16="http://schemas.microsoft.com/office/drawing/2014/main" id="{E195CC6C-E7DF-FF3C-0543-21600A293108}"/>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106465" y="5814165"/>
          <a:ext cx="414000" cy="414000"/>
        </a:xfrm>
        <a:prstGeom prst="rect">
          <a:avLst/>
        </a:prstGeom>
      </xdr:spPr>
    </xdr:pic>
    <xdr:clientData/>
  </xdr:twoCellAnchor>
  <xdr:twoCellAnchor editAs="oneCell">
    <xdr:from>
      <xdr:col>3</xdr:col>
      <xdr:colOff>114822</xdr:colOff>
      <xdr:row>29</xdr:row>
      <xdr:rowOff>41754</xdr:rowOff>
    </xdr:from>
    <xdr:to>
      <xdr:col>3</xdr:col>
      <xdr:colOff>528822</xdr:colOff>
      <xdr:row>31</xdr:row>
      <xdr:rowOff>59096</xdr:rowOff>
    </xdr:to>
    <xdr:pic>
      <xdr:nvPicPr>
        <xdr:cNvPr id="50" name="Picture 49">
          <a:hlinkClick xmlns:r="http://schemas.openxmlformats.org/officeDocument/2006/relationships" r:id="rId18"/>
          <a:extLst>
            <a:ext uri="{FF2B5EF4-FFF2-40B4-BE49-F238E27FC236}">
              <a16:creationId xmlns:a16="http://schemas.microsoft.com/office/drawing/2014/main" id="{8DB75E4A-037D-E86B-E258-A6CC140CF93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118986" y="5793288"/>
          <a:ext cx="414000" cy="414000"/>
        </a:xfrm>
        <a:prstGeom prst="rect">
          <a:avLst/>
        </a:prstGeom>
      </xdr:spPr>
    </xdr:pic>
    <xdr:clientData/>
  </xdr:twoCellAnchor>
  <xdr:twoCellAnchor>
    <xdr:from>
      <xdr:col>15</xdr:col>
      <xdr:colOff>165829</xdr:colOff>
      <xdr:row>21</xdr:row>
      <xdr:rowOff>149851</xdr:rowOff>
    </xdr:from>
    <xdr:to>
      <xdr:col>15</xdr:col>
      <xdr:colOff>165829</xdr:colOff>
      <xdr:row>31</xdr:row>
      <xdr:rowOff>45348</xdr:rowOff>
    </xdr:to>
    <xdr:cxnSp macro="">
      <xdr:nvCxnSpPr>
        <xdr:cNvPr id="17" name="Straight Connector 16">
          <a:extLst>
            <a:ext uri="{FF2B5EF4-FFF2-40B4-BE49-F238E27FC236}">
              <a16:creationId xmlns:a16="http://schemas.microsoft.com/office/drawing/2014/main" id="{99FE2F43-0411-4448-9026-6500DD3A9483}"/>
            </a:ext>
          </a:extLst>
        </xdr:cNvPr>
        <xdr:cNvCxnSpPr/>
      </xdr:nvCxnSpPr>
      <xdr:spPr>
        <a:xfrm flipV="1">
          <a:off x="10180686" y="4264651"/>
          <a:ext cx="0" cy="1854926"/>
        </a:xfrm>
        <a:prstGeom prst="line">
          <a:avLst/>
        </a:prstGeom>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17</xdr:col>
      <xdr:colOff>390795</xdr:colOff>
      <xdr:row>21</xdr:row>
      <xdr:rowOff>157111</xdr:rowOff>
    </xdr:from>
    <xdr:to>
      <xdr:col>17</xdr:col>
      <xdr:colOff>390795</xdr:colOff>
      <xdr:row>31</xdr:row>
      <xdr:rowOff>52608</xdr:rowOff>
    </xdr:to>
    <xdr:cxnSp macro="">
      <xdr:nvCxnSpPr>
        <xdr:cNvPr id="44" name="Straight Connector 43">
          <a:extLst>
            <a:ext uri="{FF2B5EF4-FFF2-40B4-BE49-F238E27FC236}">
              <a16:creationId xmlns:a16="http://schemas.microsoft.com/office/drawing/2014/main" id="{BE846ECD-E327-40BF-B667-4181A52D18B9}"/>
            </a:ext>
          </a:extLst>
        </xdr:cNvPr>
        <xdr:cNvCxnSpPr/>
      </xdr:nvCxnSpPr>
      <xdr:spPr>
        <a:xfrm flipV="1">
          <a:off x="11740966" y="4271911"/>
          <a:ext cx="0" cy="1854926"/>
        </a:xfrm>
        <a:prstGeom prst="line">
          <a:avLst/>
        </a:prstGeom>
        <a:ln/>
      </xdr:spPr>
      <xdr:style>
        <a:lnRef idx="3">
          <a:schemeClr val="accent6"/>
        </a:lnRef>
        <a:fillRef idx="0">
          <a:schemeClr val="accent6"/>
        </a:fillRef>
        <a:effectRef idx="2">
          <a:schemeClr val="accent6"/>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PINATH" refreshedDate="46095.510050115743" createdVersion="8" refreshedVersion="8" minRefreshableVersion="3" recordCount="8523" xr:uid="{3E5F1936-BB10-4C7C-9792-B8AF7143267B}">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7591847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47D8F3-C7DC-46E9-B686-4FBDC5E745E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B2:AE7"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4">
    <i>
      <x/>
    </i>
    <i>
      <x v="1"/>
    </i>
    <i>
      <x v="2"/>
    </i>
    <i t="grand">
      <x/>
    </i>
  </rowItems>
  <colFields count="1">
    <field x="0"/>
  </colFields>
  <colItems count="3">
    <i>
      <x/>
    </i>
    <i>
      <x v="1"/>
    </i>
    <i t="grand">
      <x/>
    </i>
  </colItems>
  <dataFields count="1">
    <dataField name="Sum of Sales" fld="11" baseField="0" baseItem="0" numFmtId="166"/>
  </dataFields>
  <formats count="1">
    <format dxfId="234">
      <pivotArea outline="0" collapsedLevelsAreSubtotals="1" fieldPosition="0"/>
    </format>
  </formats>
  <chartFormats count="7">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0"/>
          </reference>
        </references>
      </pivotArea>
    </chartFormat>
    <chartFormat chart="2" format="3" series="1">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3">
          <reference field="4294967294" count="1" selected="0">
            <x v="0"/>
          </reference>
          <reference field="0" count="1" selected="0">
            <x v="1"/>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95FB4D-D438-41FC-A822-B66930E97AA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2:J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numFmtId="166"/>
  </dataFields>
  <formats count="1">
    <format dxfId="235">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0" count="1" selected="0">
            <x v="0"/>
          </reference>
        </references>
      </pivotArea>
    </chartFormat>
    <chartFormat chart="6" format="12">
      <pivotArea type="data" outline="0" fieldPosition="0">
        <references count="2">
          <reference field="4294967294" count="1" selected="0">
            <x v="0"/>
          </reference>
          <reference field="0" count="1" selected="0">
            <x v="1"/>
          </reference>
        </references>
      </pivotArea>
    </chartFormat>
    <chartFormat chart="7"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0" count="1" selected="0">
            <x v="0"/>
          </reference>
        </references>
      </pivotArea>
    </chartFormat>
    <chartFormat chart="12"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ADCB5B-79F1-45FA-81F2-68BD1C1F7D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Sum of Sales" fld="11" baseField="0" baseItem="0" numFmtId="2"/>
  </dataFields>
  <formats count="1">
    <format dxfId="2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632D1C-8A73-42C0-BFA6-B4237232D4B7}"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Q2:R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0" baseItem="0" numFmtId="166"/>
  </dataFields>
  <formats count="1">
    <format dxfId="237">
      <pivotArea outline="0" collapsedLevelsAreSubtotals="1" fieldPosition="0"/>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1"/>
          </reference>
        </references>
      </pivotArea>
    </chartFormat>
    <chartFormat chart="3" format="4">
      <pivotArea type="data" outline="0" fieldPosition="0">
        <references count="2">
          <reference field="4294967294" count="1" selected="0">
            <x v="0"/>
          </reference>
          <reference field="8" count="1" selected="0">
            <x v="2"/>
          </reference>
        </references>
      </pivotArea>
    </chartFormat>
    <chartFormat chart="3" format="5">
      <pivotArea type="data" outline="0" fieldPosition="0">
        <references count="2">
          <reference field="4294967294" count="1" selected="0">
            <x v="0"/>
          </reference>
          <reference field="8" count="1" selected="0">
            <x v="3"/>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567F92-6EC4-486C-883C-F67DF58C1CC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dataField="1" showAll="0"/>
  </pivotFields>
  <rowItems count="1">
    <i/>
  </rowItems>
  <colItems count="1">
    <i/>
  </colItems>
  <dataFields count="1">
    <dataField name="Average of Rating" fld="12" subtotal="average" baseField="0" baseItem="0" numFmtId="168"/>
  </dataFields>
  <formats count="1">
    <format dxfId="2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0E4568-A044-44D5-A239-9DE64A672BD5}"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Q21:R26" firstHeaderRow="1" firstDataRow="1" firstDataCol="1"/>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r. No" fld="1" subtotal="count" baseField="8" baseItem="0" numFmtId="1"/>
  </dataFields>
  <formats count="1">
    <format dxfId="23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D13997-1F50-42D1-97C4-32F32F2F8F1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Average of Sales" fld="11" subtotal="average" baseField="0" baseItem="0" numFmtId="2"/>
  </dataFields>
  <formats count="1">
    <format dxfId="2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DE43E8-103B-45B2-AC0F-470F32EEAAA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N19" firstHeaderRow="1" firstDataRow="1" firstDataCol="1"/>
  <pivotFields count="13">
    <pivotField showAll="0"/>
    <pivotField showAll="0"/>
    <pivotField showAll="0"/>
    <pivotField axis="axisRow"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6"/>
    </i>
    <i>
      <x v="13"/>
    </i>
    <i>
      <x v="9"/>
    </i>
    <i>
      <x v="5"/>
    </i>
    <i>
      <x v="4"/>
    </i>
    <i>
      <x v="3"/>
    </i>
    <i>
      <x/>
    </i>
    <i>
      <x v="8"/>
    </i>
    <i>
      <x v="10"/>
    </i>
    <i>
      <x v="14"/>
    </i>
    <i>
      <x v="1"/>
    </i>
    <i>
      <x v="7"/>
    </i>
    <i>
      <x v="11"/>
    </i>
    <i>
      <x v="15"/>
    </i>
    <i>
      <x v="2"/>
    </i>
    <i>
      <x v="12"/>
    </i>
    <i t="grand">
      <x/>
    </i>
  </rowItems>
  <colItems count="1">
    <i/>
  </colItems>
  <dataFields count="1">
    <dataField name="Sum of Sales" fld="11" baseField="0" baseItem="0" numFmtId="166"/>
  </dataFields>
  <formats count="1">
    <format dxfId="2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41395A-D172-4A1C-93BD-499D63445519}"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2:E3" firstHeaderRow="1"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showAll="0"/>
  </pivotFields>
  <rowItems count="1">
    <i/>
  </rowItems>
  <colItems count="1">
    <i/>
  </colItems>
  <dataFields count="1">
    <dataField name="Count of Sr. No"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8E3ECD-99FF-4015-803F-5B1A3BF0D97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V2:W12"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numFmtId="166"/>
  </dataFields>
  <formats count="1">
    <format dxfId="242">
      <pivotArea outline="0" collapsedLevelsAreSubtotals="1" fieldPosition="0"/>
    </format>
  </formats>
  <chartFormats count="10">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4"/>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 chart="3" format="9">
      <pivotArea type="data" outline="0" fieldPosition="0">
        <references count="2">
          <reference field="4294967294" count="1" selected="0">
            <x v="0"/>
          </reference>
          <reference field="4" count="1" selected="0">
            <x v="6"/>
          </reference>
        </references>
      </pivotArea>
    </chartFormat>
    <chartFormat chart="3" format="10">
      <pivotArea type="data" outline="0" fieldPosition="0">
        <references count="2">
          <reference field="4294967294" count="1" selected="0">
            <x v="0"/>
          </reference>
          <reference field="4" count="1" selected="0">
            <x v="7"/>
          </reference>
        </references>
      </pivotArea>
    </chartFormat>
    <chartFormat chart="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D2D1404-D12A-471A-8CCC-7BC431B3766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Y11:Z15"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4">
    <i>
      <x v="2"/>
    </i>
    <i>
      <x v="1"/>
    </i>
    <i>
      <x/>
    </i>
    <i t="grand">
      <x/>
    </i>
  </rowItems>
  <colItems count="1">
    <i/>
  </colItems>
  <dataFields count="1">
    <dataField name="Sum of Sales" fld="11" baseField="0" baseItem="0" numFmtId="166"/>
  </dataFields>
  <formats count="1">
    <format dxfId="24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00A40E5-932E-4702-BFEA-8B074E63334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Y2:Z6"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7"/>
  </rowFields>
  <rowItems count="4">
    <i>
      <x/>
    </i>
    <i>
      <x v="2"/>
    </i>
    <i>
      <x v="1"/>
    </i>
    <i t="grand">
      <x/>
    </i>
  </rowItems>
  <colItems count="1">
    <i/>
  </colItems>
  <dataFields count="1">
    <dataField name="Sum of Sales" fld="11" baseField="0" baseItem="0" numFmtId="166"/>
  </dataFields>
  <formats count="1">
    <format dxfId="244">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82E48E6-475D-47BD-9B73-00EC1DCF4A5E}"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Q11:R16"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Sales" fld="11" subtotal="average" baseField="8" baseItem="0"/>
  </dataFields>
  <formats count="2">
    <format dxfId="246">
      <pivotArea outline="0" collapsedLevelsAreSubtotals="1" fieldPosition="0"/>
    </format>
    <format dxfId="245">
      <pivotArea collapsedLevelsAreSubtotals="1" fieldPosition="0">
        <references count="1">
          <reference field="8" count="1">
            <x v="1"/>
          </reference>
        </references>
      </pivotArea>
    </format>
  </formats>
  <chartFormats count="7">
    <chartFormat chart="3" format="8"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8" count="1" selected="0">
            <x v="3"/>
          </reference>
        </references>
      </pivotArea>
    </chartFormat>
    <chartFormat chart="3" format="10">
      <pivotArea type="data" outline="0" fieldPosition="0">
        <references count="2">
          <reference field="4294967294" count="1" selected="0">
            <x v="0"/>
          </reference>
          <reference field="8" count="1" selected="0">
            <x v="2"/>
          </reference>
        </references>
      </pivotArea>
    </chartFormat>
    <chartFormat chart="3" format="11">
      <pivotArea type="data" outline="0" fieldPosition="0">
        <references count="2">
          <reference field="4294967294" count="1" selected="0">
            <x v="0"/>
          </reference>
          <reference field="8" count="1" selected="0">
            <x v="1"/>
          </reference>
        </references>
      </pivotArea>
    </chartFormat>
    <chartFormat chart="3" format="12">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153F358-EBF0-4F30-9806-0F0F3281CB1F}" sourceName="Item Type">
  <pivotTables>
    <pivotTable tabId="2" name="PivotTable6"/>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7"/>
    <pivotTable tabId="2" name="PivotTable8"/>
    <pivotTable tabId="2" name="PivotTable9"/>
  </pivotTables>
  <data>
    <tabular pivotCacheId="759184759">
      <items count="16">
        <i x="13" s="1"/>
        <i x="8" s="1"/>
        <i x="12" s="1"/>
        <i x="3" s="1"/>
        <i x="11" s="1"/>
        <i x="2" s="1"/>
        <i x="0" s="1"/>
        <i x="9" s="1"/>
        <i x="1" s="1"/>
        <i x="5" s="1"/>
        <i x="7" s="1"/>
        <i x="10" s="1"/>
        <i x="14" s="1"/>
        <i x="6"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43D28E92-D0A3-4DC0-AF47-5C63306C7E2C}" sourceName="Outlet Location Type">
  <pivotTables>
    <pivotTable tabId="2" name="PivotTable6"/>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7"/>
    <pivotTable tabId="2" name="PivotTable8"/>
    <pivotTable tabId="2" name="PivotTable9"/>
  </pivotTables>
  <data>
    <tabular pivotCacheId="75918475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A88257C-695F-49A2-8C11-1ADA78405EBB}" sourceName="Outlet Size">
  <pivotTables>
    <pivotTable tabId="2" name="PivotTable6"/>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7"/>
    <pivotTable tabId="2" name="PivotTable8"/>
    <pivotTable tabId="2" name="PivotTable9"/>
  </pivotTables>
  <data>
    <tabular pivotCacheId="75918475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88C9C49E-B4A2-435A-806D-AFA724BA03AE}" cache="Slicer_Item_Type" caption="Item Type" startItem="8" style="Slicer Style 1" rowHeight="259200"/>
  <slicer name="Outlet Location Type" xr10:uid="{06D95A2C-E7EB-4503-BB78-6F116C2E3E98}" cache="Slicer_Outlet_Location_Type" caption="Outlet Location Type" style="Slicer Style 1" rowHeight="260350"/>
  <slicer name="Outlet Size" xr10:uid="{1F09117E-7B6D-4F64-8464-17FF79148629}" cache="Slicer_Outlet_Size" caption="Outlet Size" style="Slicer Style 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AB448063-2D9B-4419-9D2F-9E36E18A13AC}"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80"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1626</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CEBA6-27CA-461B-B77B-46809B045906}">
  <dimension ref="A1:AE38"/>
  <sheetViews>
    <sheetView tabSelected="1" topLeftCell="C1" zoomScale="63" workbookViewId="0">
      <selection activeCell="Z3" sqref="Z3"/>
    </sheetView>
  </sheetViews>
  <sheetFormatPr defaultRowHeight="15.6" x14ac:dyDescent="0.3"/>
  <cols>
    <col min="1" max="1" width="11.796875" bestFit="1" customWidth="1"/>
    <col min="2" max="2" width="2.5" customWidth="1"/>
    <col min="3" max="3" width="15.296875" bestFit="1" customWidth="1"/>
    <col min="4" max="4" width="3.3984375" customWidth="1"/>
    <col min="5" max="5" width="20.8984375" bestFit="1" customWidth="1"/>
    <col min="6" max="6" width="2.5" customWidth="1"/>
    <col min="7" max="7" width="16.3984375" bestFit="1" customWidth="1"/>
    <col min="8" max="8" width="2.19921875" customWidth="1"/>
    <col min="9" max="9" width="13.8984375" bestFit="1" customWidth="1"/>
    <col min="10" max="10" width="11.796875" bestFit="1" customWidth="1"/>
    <col min="11" max="11" width="2.09765625" hidden="1" customWidth="1"/>
    <col min="12" max="12" width="1.8984375" customWidth="1"/>
    <col min="13" max="13" width="20.09765625" bestFit="1" customWidth="1"/>
    <col min="14" max="14" width="11.796875" bestFit="1" customWidth="1"/>
    <col min="15" max="15" width="8.796875" hidden="1" customWidth="1"/>
    <col min="16" max="16" width="3" customWidth="1"/>
    <col min="17" max="17" width="17.296875" bestFit="1" customWidth="1"/>
    <col min="18" max="18" width="16.5" bestFit="1" customWidth="1"/>
    <col min="19" max="19" width="0.296875" customWidth="1"/>
    <col min="20" max="20" width="4.5" hidden="1" customWidth="1"/>
    <col min="21" max="21" width="3" customWidth="1"/>
    <col min="22" max="22" width="13.8984375" bestFit="1" customWidth="1"/>
    <col min="23" max="23" width="11.796875" bestFit="1" customWidth="1"/>
    <col min="24" max="24" width="2.8984375" customWidth="1"/>
    <col min="25" max="25" width="13.8984375" bestFit="1" customWidth="1"/>
    <col min="26" max="26" width="11.796875" bestFit="1" customWidth="1"/>
    <col min="27" max="27" width="3" customWidth="1"/>
    <col min="28" max="28" width="13.8984375" bestFit="1" customWidth="1"/>
    <col min="29" max="29" width="16.796875" bestFit="1" customWidth="1"/>
    <col min="30" max="30" width="8.19921875" bestFit="1" customWidth="1"/>
    <col min="31" max="31" width="11.09765625" bestFit="1" customWidth="1"/>
    <col min="32" max="32" width="17.3984375" bestFit="1" customWidth="1"/>
    <col min="33" max="33" width="10.8984375" bestFit="1" customWidth="1"/>
  </cols>
  <sheetData>
    <row r="1" spans="1:31" x14ac:dyDescent="0.3">
      <c r="A1" s="1" t="s">
        <v>1611</v>
      </c>
      <c r="C1" s="1" t="s">
        <v>1612</v>
      </c>
      <c r="E1" s="1" t="s">
        <v>1614</v>
      </c>
      <c r="G1" s="1" t="s">
        <v>1615</v>
      </c>
      <c r="I1" s="21" t="s">
        <v>1619</v>
      </c>
      <c r="J1" s="21"/>
      <c r="K1" s="21"/>
      <c r="M1" s="21" t="s">
        <v>1620</v>
      </c>
      <c r="N1" s="21"/>
      <c r="O1" s="21"/>
      <c r="Q1" s="21" t="s">
        <v>1621</v>
      </c>
      <c r="R1" s="21"/>
      <c r="S1" s="8"/>
      <c r="T1" s="8"/>
      <c r="V1" s="21" t="s">
        <v>1622</v>
      </c>
      <c r="W1" s="21"/>
      <c r="Y1" s="21" t="s">
        <v>1623</v>
      </c>
      <c r="Z1" s="21"/>
      <c r="AB1" s="21" t="s">
        <v>1624</v>
      </c>
      <c r="AC1" s="21"/>
    </row>
    <row r="2" spans="1:31" x14ac:dyDescent="0.3">
      <c r="A2" t="s">
        <v>1610</v>
      </c>
      <c r="C2" t="s">
        <v>1613</v>
      </c>
      <c r="E2" t="s">
        <v>1627</v>
      </c>
      <c r="G2" t="s">
        <v>1616</v>
      </c>
      <c r="I2" s="2" t="s">
        <v>1617</v>
      </c>
      <c r="J2" t="s">
        <v>1610</v>
      </c>
      <c r="M2" s="2" t="s">
        <v>1617</v>
      </c>
      <c r="N2" t="s">
        <v>1610</v>
      </c>
      <c r="Q2" s="2" t="s">
        <v>1617</v>
      </c>
      <c r="R2" t="s">
        <v>1610</v>
      </c>
      <c r="V2" s="2" t="s">
        <v>1617</v>
      </c>
      <c r="W2" t="s">
        <v>1610</v>
      </c>
      <c r="Y2" s="2" t="s">
        <v>1617</v>
      </c>
      <c r="Z2" t="s">
        <v>1610</v>
      </c>
      <c r="AB2" s="2" t="s">
        <v>1610</v>
      </c>
      <c r="AC2" s="2" t="s">
        <v>1630</v>
      </c>
    </row>
    <row r="3" spans="1:31" x14ac:dyDescent="0.3">
      <c r="A3" s="3">
        <v>1201681.4928000034</v>
      </c>
      <c r="C3" s="3">
        <v>140.99278338613203</v>
      </c>
      <c r="E3" s="22">
        <v>8523</v>
      </c>
      <c r="G3" s="11">
        <v>3.9658570925731196</v>
      </c>
      <c r="I3" s="4" t="s">
        <v>17</v>
      </c>
      <c r="J3" s="7">
        <v>776319.68840000057</v>
      </c>
      <c r="M3" s="4" t="s">
        <v>12</v>
      </c>
      <c r="N3" s="7">
        <v>178124.08099999995</v>
      </c>
      <c r="Q3" s="4" t="s">
        <v>40</v>
      </c>
      <c r="R3" s="7">
        <v>151939.149</v>
      </c>
      <c r="V3" s="4">
        <v>2011</v>
      </c>
      <c r="W3" s="7">
        <v>78131.566599999976</v>
      </c>
      <c r="Y3" s="4" t="s">
        <v>30</v>
      </c>
      <c r="Z3" s="7">
        <v>248991.58600000024</v>
      </c>
      <c r="AB3" s="2" t="s">
        <v>1617</v>
      </c>
      <c r="AC3" t="s">
        <v>17</v>
      </c>
      <c r="AD3" t="s">
        <v>10</v>
      </c>
      <c r="AE3" t="s">
        <v>1618</v>
      </c>
    </row>
    <row r="4" spans="1:31" x14ac:dyDescent="0.3">
      <c r="I4" s="4" t="s">
        <v>10</v>
      </c>
      <c r="J4" s="7">
        <v>425361.8043999995</v>
      </c>
      <c r="M4" s="4" t="s">
        <v>48</v>
      </c>
      <c r="N4" s="7">
        <v>175433.92240000021</v>
      </c>
      <c r="Q4" s="4" t="s">
        <v>46</v>
      </c>
      <c r="R4" s="7">
        <v>130714.67460000006</v>
      </c>
      <c r="V4" s="4">
        <v>2012</v>
      </c>
      <c r="W4" s="7">
        <v>130476.85979999998</v>
      </c>
      <c r="Y4" s="4" t="s">
        <v>26</v>
      </c>
      <c r="Z4" s="7">
        <v>444794.17039999936</v>
      </c>
      <c r="AB4" s="4" t="s">
        <v>14</v>
      </c>
      <c r="AC4" s="7">
        <v>215047.9126000001</v>
      </c>
      <c r="AD4" s="7">
        <v>121349.89940000001</v>
      </c>
      <c r="AE4" s="7">
        <v>336397.81200000009</v>
      </c>
    </row>
    <row r="5" spans="1:31" x14ac:dyDescent="0.3">
      <c r="A5" s="5">
        <f>GETPIVOTDATA("Sales",$A$2)</f>
        <v>1201681.4928000034</v>
      </c>
      <c r="C5" s="6">
        <f>GETPIVOTDATA("Sales",$C$2)</f>
        <v>140.99278338613203</v>
      </c>
      <c r="E5">
        <f>GETPIVOTDATA("Sr. No",$E$2)</f>
        <v>8523</v>
      </c>
      <c r="G5" s="11">
        <f>GETPIVOTDATA("Rating",$G$2)</f>
        <v>3.9658570925731196</v>
      </c>
      <c r="I5" s="4" t="s">
        <v>1618</v>
      </c>
      <c r="J5" s="7">
        <v>1201681.4928000001</v>
      </c>
      <c r="M5" s="4" t="s">
        <v>42</v>
      </c>
      <c r="N5" s="7">
        <v>135976.52539999998</v>
      </c>
      <c r="Q5" s="4" t="s">
        <v>22</v>
      </c>
      <c r="R5" s="7">
        <v>131477.77639999994</v>
      </c>
      <c r="V5" s="4">
        <v>2014</v>
      </c>
      <c r="W5" s="7">
        <v>131809.01560000007</v>
      </c>
      <c r="Y5" s="4" t="s">
        <v>15</v>
      </c>
      <c r="Z5" s="7">
        <v>507895.7363999993</v>
      </c>
      <c r="AB5" s="4" t="s">
        <v>34</v>
      </c>
      <c r="AC5" s="7">
        <v>254464.77940000014</v>
      </c>
      <c r="AD5" s="7">
        <v>138685.86819999994</v>
      </c>
      <c r="AE5" s="7">
        <v>393150.64760000008</v>
      </c>
    </row>
    <row r="6" spans="1:31" x14ac:dyDescent="0.3">
      <c r="M6" s="4" t="s">
        <v>24</v>
      </c>
      <c r="N6" s="7">
        <v>118558.88140000009</v>
      </c>
      <c r="Q6" s="4" t="s">
        <v>16</v>
      </c>
      <c r="R6" s="7">
        <v>787549.89280000131</v>
      </c>
      <c r="V6" s="4">
        <v>2015</v>
      </c>
      <c r="W6" s="7">
        <v>130942.78019999999</v>
      </c>
      <c r="Y6" s="4" t="s">
        <v>1618</v>
      </c>
      <c r="Z6" s="7">
        <v>1201681.4927999987</v>
      </c>
      <c r="AB6" s="4" t="s">
        <v>21</v>
      </c>
      <c r="AC6" s="7">
        <v>306806.99640000012</v>
      </c>
      <c r="AD6" s="7">
        <v>165326.0368</v>
      </c>
      <c r="AE6" s="7">
        <v>472133.03320000012</v>
      </c>
    </row>
    <row r="7" spans="1:31" x14ac:dyDescent="0.3">
      <c r="M7" s="4" t="s">
        <v>67</v>
      </c>
      <c r="N7" s="7">
        <v>101276.46159999995</v>
      </c>
      <c r="Q7" s="4" t="s">
        <v>1618</v>
      </c>
      <c r="R7" s="7">
        <v>1201681.4928000013</v>
      </c>
      <c r="V7" s="4">
        <v>2016</v>
      </c>
      <c r="W7" s="7">
        <v>132113.36980000007</v>
      </c>
      <c r="AB7" s="4" t="s">
        <v>1618</v>
      </c>
      <c r="AC7" s="7">
        <v>776319.68840000033</v>
      </c>
      <c r="AD7" s="7">
        <v>425361.80439999996</v>
      </c>
      <c r="AE7" s="7">
        <v>1201681.4928000004</v>
      </c>
    </row>
    <row r="8" spans="1:31" x14ac:dyDescent="0.3">
      <c r="M8" s="4" t="s">
        <v>28</v>
      </c>
      <c r="N8" s="7">
        <v>90706.728999999992</v>
      </c>
      <c r="V8" s="4">
        <v>2017</v>
      </c>
      <c r="W8" s="7">
        <v>133103.90699999989</v>
      </c>
    </row>
    <row r="9" spans="1:31" x14ac:dyDescent="0.3">
      <c r="M9" s="4" t="s">
        <v>95</v>
      </c>
      <c r="N9" s="7">
        <v>81894.736400000009</v>
      </c>
      <c r="V9" s="4">
        <v>2018</v>
      </c>
      <c r="W9" s="7">
        <v>204522.25700000025</v>
      </c>
    </row>
    <row r="10" spans="1:31" x14ac:dyDescent="0.3">
      <c r="M10" s="4" t="s">
        <v>19</v>
      </c>
      <c r="N10" s="7">
        <v>68025.838800000012</v>
      </c>
      <c r="Q10" s="21" t="s">
        <v>1625</v>
      </c>
      <c r="R10" s="21"/>
      <c r="V10" s="4">
        <v>2020</v>
      </c>
      <c r="W10" s="7">
        <v>129103.96039999987</v>
      </c>
    </row>
    <row r="11" spans="1:31" x14ac:dyDescent="0.3">
      <c r="M11" s="4" t="s">
        <v>54</v>
      </c>
      <c r="N11" s="7">
        <v>59449.863799999992</v>
      </c>
      <c r="Q11" s="2" t="s">
        <v>1617</v>
      </c>
      <c r="R11" t="s">
        <v>1613</v>
      </c>
      <c r="V11" s="4">
        <v>2022</v>
      </c>
      <c r="W11" s="7">
        <v>131477.77639999994</v>
      </c>
      <c r="Y11" s="2" t="s">
        <v>1617</v>
      </c>
      <c r="Z11" t="s">
        <v>1610</v>
      </c>
    </row>
    <row r="12" spans="1:31" x14ac:dyDescent="0.3">
      <c r="M12" s="4" t="s">
        <v>32</v>
      </c>
      <c r="N12" s="7">
        <v>58514.166999999987</v>
      </c>
      <c r="Q12" s="4" t="s">
        <v>40</v>
      </c>
      <c r="R12" s="9">
        <v>140.29468975069253</v>
      </c>
      <c r="V12" s="4" t="s">
        <v>1618</v>
      </c>
      <c r="W12" s="7">
        <v>1201681.4927999999</v>
      </c>
      <c r="Y12" s="4" t="s">
        <v>21</v>
      </c>
      <c r="Z12" s="7">
        <v>472133.03319999954</v>
      </c>
    </row>
    <row r="13" spans="1:31" x14ac:dyDescent="0.3">
      <c r="M13" s="4" t="s">
        <v>57</v>
      </c>
      <c r="N13" s="7">
        <v>35379.119800000015</v>
      </c>
      <c r="Q13" s="4" t="s">
        <v>46</v>
      </c>
      <c r="R13" s="9">
        <v>139.80179101604284</v>
      </c>
      <c r="Y13" s="4" t="s">
        <v>34</v>
      </c>
      <c r="Z13" s="7">
        <v>393150.64759999956</v>
      </c>
    </row>
    <row r="14" spans="1:31" x14ac:dyDescent="0.3">
      <c r="M14" s="4" t="s">
        <v>61</v>
      </c>
      <c r="N14" s="7">
        <v>29334.680599999996</v>
      </c>
      <c r="Q14" s="4" t="s">
        <v>22</v>
      </c>
      <c r="R14" s="9">
        <v>141.67863836206891</v>
      </c>
      <c r="Y14" s="4" t="s">
        <v>14</v>
      </c>
      <c r="Z14" s="7">
        <v>336397.81199999945</v>
      </c>
    </row>
    <row r="15" spans="1:31" x14ac:dyDescent="0.3">
      <c r="M15" s="4" t="s">
        <v>64</v>
      </c>
      <c r="N15" s="7">
        <v>22451.891599999999</v>
      </c>
      <c r="Q15" s="4" t="s">
        <v>16</v>
      </c>
      <c r="R15" s="9">
        <v>141.21389506903375</v>
      </c>
      <c r="Y15" s="4" t="s">
        <v>1618</v>
      </c>
      <c r="Z15" s="7">
        <v>1201681.4927999985</v>
      </c>
    </row>
    <row r="16" spans="1:31" x14ac:dyDescent="0.3">
      <c r="M16" s="4" t="s">
        <v>159</v>
      </c>
      <c r="N16" s="7">
        <v>21880.027399999992</v>
      </c>
      <c r="Q16" s="4" t="s">
        <v>1618</v>
      </c>
      <c r="R16" s="9">
        <v>140.99278338613175</v>
      </c>
    </row>
    <row r="17" spans="13:26" x14ac:dyDescent="0.3">
      <c r="M17" s="4" t="s">
        <v>74</v>
      </c>
      <c r="N17" s="7">
        <v>15596.696600000001</v>
      </c>
    </row>
    <row r="18" spans="13:26" x14ac:dyDescent="0.3">
      <c r="M18" s="4" t="s">
        <v>153</v>
      </c>
      <c r="N18" s="7">
        <v>9077.869999999999</v>
      </c>
      <c r="Y18" t="str">
        <f>Y12</f>
        <v>Tier 3</v>
      </c>
      <c r="Z18" s="7">
        <f>GETPIVOTDATA("Sales",$Y$11,"Outlet Location Type",Y18)</f>
        <v>472133.03319999954</v>
      </c>
    </row>
    <row r="19" spans="13:26" x14ac:dyDescent="0.3">
      <c r="M19" s="4" t="s">
        <v>1618</v>
      </c>
      <c r="N19" s="7">
        <v>1201681.4927999999</v>
      </c>
      <c r="Y19" t="str">
        <f t="shared" ref="Y19:Y20" si="0">Y13</f>
        <v>Tier 2</v>
      </c>
      <c r="Z19" s="7">
        <f t="shared" ref="Z19:Z20" si="1">GETPIVOTDATA("Sales",$Y$11,"Outlet Location Type",Y19)</f>
        <v>393150.64759999956</v>
      </c>
    </row>
    <row r="20" spans="13:26" x14ac:dyDescent="0.3">
      <c r="Q20" s="21" t="s">
        <v>1628</v>
      </c>
      <c r="R20" s="21"/>
      <c r="Y20" t="str">
        <f t="shared" si="0"/>
        <v>Tier 1</v>
      </c>
      <c r="Z20" s="7">
        <f t="shared" si="1"/>
        <v>336397.81199999945</v>
      </c>
    </row>
    <row r="21" spans="13:26" x14ac:dyDescent="0.3">
      <c r="Q21" s="2" t="s">
        <v>1617</v>
      </c>
      <c r="R21" t="s">
        <v>1627</v>
      </c>
    </row>
    <row r="22" spans="13:26" x14ac:dyDescent="0.3">
      <c r="M22" s="4" t="s">
        <v>1629</v>
      </c>
      <c r="N22" t="s">
        <v>1608</v>
      </c>
      <c r="Q22" s="4" t="s">
        <v>40</v>
      </c>
      <c r="R22" s="10">
        <v>1083</v>
      </c>
    </row>
    <row r="23" spans="13:26" x14ac:dyDescent="0.3">
      <c r="M23" t="str">
        <f>M3</f>
        <v>Fruits and Vegetables</v>
      </c>
      <c r="N23" s="7">
        <f>GETPIVOTDATA("Sales",$M$2,"Item Type",M23)</f>
        <v>178124.08099999995</v>
      </c>
      <c r="Q23" s="4" t="s">
        <v>46</v>
      </c>
      <c r="R23" s="10">
        <v>935</v>
      </c>
    </row>
    <row r="24" spans="13:26" x14ac:dyDescent="0.3">
      <c r="M24" t="str">
        <f t="shared" ref="M24:M38" si="2">M4</f>
        <v>Snack Foods</v>
      </c>
      <c r="N24" s="7">
        <f t="shared" ref="N24:N38" si="3">GETPIVOTDATA("Sales",$M$2,"Item Type",M24)</f>
        <v>175433.92240000021</v>
      </c>
      <c r="Q24" s="4" t="s">
        <v>22</v>
      </c>
      <c r="R24" s="10">
        <v>928</v>
      </c>
    </row>
    <row r="25" spans="13:26" x14ac:dyDescent="0.3">
      <c r="M25" t="str">
        <f t="shared" si="2"/>
        <v>Household</v>
      </c>
      <c r="N25" s="7">
        <f t="shared" si="3"/>
        <v>135976.52539999998</v>
      </c>
      <c r="Q25" s="4" t="s">
        <v>16</v>
      </c>
      <c r="R25" s="10">
        <v>5577</v>
      </c>
    </row>
    <row r="26" spans="13:26" x14ac:dyDescent="0.3">
      <c r="M26" t="str">
        <f t="shared" si="2"/>
        <v>Frozen Foods</v>
      </c>
      <c r="N26" s="7">
        <f t="shared" si="3"/>
        <v>118558.88140000009</v>
      </c>
      <c r="Q26" s="4" t="s">
        <v>1618</v>
      </c>
      <c r="R26" s="10">
        <v>8523</v>
      </c>
    </row>
    <row r="27" spans="13:26" x14ac:dyDescent="0.3">
      <c r="M27" t="str">
        <f t="shared" si="2"/>
        <v>Dairy</v>
      </c>
      <c r="N27" s="7">
        <f t="shared" si="3"/>
        <v>101276.46159999995</v>
      </c>
    </row>
    <row r="28" spans="13:26" x14ac:dyDescent="0.3">
      <c r="M28" t="str">
        <f t="shared" si="2"/>
        <v>Canned</v>
      </c>
      <c r="N28" s="7">
        <f t="shared" si="3"/>
        <v>90706.728999999992</v>
      </c>
    </row>
    <row r="29" spans="13:26" x14ac:dyDescent="0.3">
      <c r="M29" t="str">
        <f t="shared" si="2"/>
        <v>Baking Goods</v>
      </c>
      <c r="N29" s="7">
        <f t="shared" si="3"/>
        <v>81894.736400000009</v>
      </c>
    </row>
    <row r="30" spans="13:26" x14ac:dyDescent="0.3">
      <c r="M30" t="str">
        <f t="shared" si="2"/>
        <v>Health and Hygiene</v>
      </c>
      <c r="N30" s="7">
        <f t="shared" si="3"/>
        <v>68025.838800000012</v>
      </c>
    </row>
    <row r="31" spans="13:26" x14ac:dyDescent="0.3">
      <c r="M31" t="str">
        <f t="shared" si="2"/>
        <v>Meat</v>
      </c>
      <c r="N31" s="7">
        <f t="shared" si="3"/>
        <v>59449.863799999992</v>
      </c>
    </row>
    <row r="32" spans="13:26" x14ac:dyDescent="0.3">
      <c r="M32" t="str">
        <f t="shared" si="2"/>
        <v>Soft Drinks</v>
      </c>
      <c r="N32" s="7">
        <f t="shared" si="3"/>
        <v>58514.166999999987</v>
      </c>
    </row>
    <row r="33" spans="13:14" x14ac:dyDescent="0.3">
      <c r="M33" t="str">
        <f t="shared" si="2"/>
        <v>Breads</v>
      </c>
      <c r="N33" s="7">
        <f t="shared" si="3"/>
        <v>35379.119800000015</v>
      </c>
    </row>
    <row r="34" spans="13:14" x14ac:dyDescent="0.3">
      <c r="M34" t="str">
        <f t="shared" si="2"/>
        <v>Hard Drinks</v>
      </c>
      <c r="N34" s="7">
        <f t="shared" si="3"/>
        <v>29334.680599999996</v>
      </c>
    </row>
    <row r="35" spans="13:14" x14ac:dyDescent="0.3">
      <c r="M35" t="str">
        <f t="shared" si="2"/>
        <v>Others</v>
      </c>
      <c r="N35" s="7">
        <f t="shared" si="3"/>
        <v>22451.891599999999</v>
      </c>
    </row>
    <row r="36" spans="13:14" x14ac:dyDescent="0.3">
      <c r="M36" t="str">
        <f t="shared" si="2"/>
        <v>Starchy Foods</v>
      </c>
      <c r="N36" s="7">
        <f t="shared" si="3"/>
        <v>21880.027399999992</v>
      </c>
    </row>
    <row r="37" spans="13:14" x14ac:dyDescent="0.3">
      <c r="M37" t="str">
        <f t="shared" si="2"/>
        <v>Breakfast</v>
      </c>
      <c r="N37" s="7">
        <f t="shared" si="3"/>
        <v>15596.696600000001</v>
      </c>
    </row>
    <row r="38" spans="13:14" x14ac:dyDescent="0.3">
      <c r="M38" t="str">
        <f t="shared" si="2"/>
        <v>Seafood</v>
      </c>
      <c r="N38" s="7">
        <f t="shared" si="3"/>
        <v>9077.869999999999</v>
      </c>
    </row>
  </sheetData>
  <mergeCells count="8">
    <mergeCell ref="AB1:AC1"/>
    <mergeCell ref="Q1:R1"/>
    <mergeCell ref="Q10:R10"/>
    <mergeCell ref="Q20:R20"/>
    <mergeCell ref="I1:K1"/>
    <mergeCell ref="M1:O1"/>
    <mergeCell ref="V1:W1"/>
    <mergeCell ref="Y1:Z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2E758-C00C-44B9-89CB-B35D51730C16}">
  <dimension ref="B2:T32"/>
  <sheetViews>
    <sheetView showGridLines="0" showRowColHeaders="0" zoomScale="105" zoomScaleNormal="73" workbookViewId="0">
      <selection activeCell="U35" sqref="U35"/>
    </sheetView>
  </sheetViews>
  <sheetFormatPr defaultRowHeight="15.6" x14ac:dyDescent="0.3"/>
  <sheetData>
    <row r="2" spans="2:20" x14ac:dyDescent="0.3">
      <c r="B2" s="12"/>
      <c r="C2" s="13"/>
      <c r="D2" s="13"/>
      <c r="E2" s="13"/>
      <c r="F2" s="13"/>
      <c r="G2" s="13"/>
      <c r="H2" s="13"/>
      <c r="I2" s="13"/>
      <c r="J2" s="13"/>
      <c r="K2" s="13"/>
      <c r="L2" s="13"/>
      <c r="M2" s="13"/>
      <c r="N2" s="13"/>
      <c r="O2" s="13"/>
      <c r="P2" s="13"/>
      <c r="Q2" s="13"/>
      <c r="R2" s="13"/>
      <c r="S2" s="13"/>
      <c r="T2" s="14"/>
    </row>
    <row r="3" spans="2:20" x14ac:dyDescent="0.3">
      <c r="B3" s="15"/>
      <c r="C3" s="16"/>
      <c r="D3" s="16"/>
      <c r="E3" s="16"/>
      <c r="F3" s="16"/>
      <c r="G3" s="16"/>
      <c r="H3" s="16"/>
      <c r="I3" s="16"/>
      <c r="J3" s="16"/>
      <c r="K3" s="16"/>
      <c r="L3" s="16"/>
      <c r="M3" s="16"/>
      <c r="N3" s="16"/>
      <c r="O3" s="16"/>
      <c r="P3" s="16"/>
      <c r="Q3" s="16"/>
      <c r="R3" s="16"/>
      <c r="S3" s="16"/>
      <c r="T3" s="17"/>
    </row>
    <row r="4" spans="2:20" x14ac:dyDescent="0.3">
      <c r="B4" s="15"/>
      <c r="C4" s="16"/>
      <c r="D4" s="16"/>
      <c r="E4" s="16"/>
      <c r="F4" s="16"/>
      <c r="G4" s="16"/>
      <c r="H4" s="16"/>
      <c r="I4" s="16"/>
      <c r="J4" s="16"/>
      <c r="K4" s="16"/>
      <c r="L4" s="16"/>
      <c r="M4" s="16"/>
      <c r="N4" s="16"/>
      <c r="O4" s="16"/>
      <c r="P4" s="16"/>
      <c r="Q4" s="16"/>
      <c r="R4" s="16"/>
      <c r="S4" s="16"/>
      <c r="T4" s="17"/>
    </row>
    <row r="5" spans="2:20" x14ac:dyDescent="0.3">
      <c r="B5" s="15"/>
      <c r="C5" s="16"/>
      <c r="D5" s="16"/>
      <c r="E5" s="16"/>
      <c r="F5" s="16"/>
      <c r="G5" s="16"/>
      <c r="H5" s="16"/>
      <c r="I5" s="16"/>
      <c r="J5" s="16"/>
      <c r="K5" s="16"/>
      <c r="L5" s="16"/>
      <c r="M5" s="16"/>
      <c r="N5" s="16"/>
      <c r="O5" s="16"/>
      <c r="P5" s="16"/>
      <c r="Q5" s="16"/>
      <c r="R5" s="16"/>
      <c r="S5" s="16"/>
      <c r="T5" s="17"/>
    </row>
    <row r="6" spans="2:20" x14ac:dyDescent="0.3">
      <c r="B6" s="15"/>
      <c r="C6" s="16"/>
      <c r="D6" s="16"/>
      <c r="E6" s="16"/>
      <c r="F6" s="16"/>
      <c r="G6" s="16"/>
      <c r="H6" s="16"/>
      <c r="I6" s="16"/>
      <c r="J6" s="16"/>
      <c r="K6" s="16"/>
      <c r="L6" s="16"/>
      <c r="M6" s="16"/>
      <c r="N6" s="16"/>
      <c r="O6" s="16"/>
      <c r="P6" s="16"/>
      <c r="Q6" s="16"/>
      <c r="R6" s="16"/>
      <c r="S6" s="16"/>
      <c r="T6" s="17"/>
    </row>
    <row r="7" spans="2:20" x14ac:dyDescent="0.3">
      <c r="B7" s="15"/>
      <c r="C7" s="16"/>
      <c r="D7" s="16"/>
      <c r="E7" s="16"/>
      <c r="F7" s="16"/>
      <c r="G7" s="16"/>
      <c r="H7" s="16"/>
      <c r="I7" s="16"/>
      <c r="J7" s="16"/>
      <c r="K7" s="16"/>
      <c r="L7" s="16"/>
      <c r="M7" s="16"/>
      <c r="N7" s="16"/>
      <c r="O7" s="16"/>
      <c r="P7" s="16"/>
      <c r="Q7" s="16"/>
      <c r="R7" s="16"/>
      <c r="S7" s="16"/>
      <c r="T7" s="17"/>
    </row>
    <row r="8" spans="2:20" x14ac:dyDescent="0.3">
      <c r="B8" s="15"/>
      <c r="C8" s="16"/>
      <c r="D8" s="16"/>
      <c r="E8" s="16"/>
      <c r="F8" s="16"/>
      <c r="G8" s="16"/>
      <c r="H8" s="16"/>
      <c r="I8" s="16"/>
      <c r="J8" s="16"/>
      <c r="K8" s="16"/>
      <c r="L8" s="16"/>
      <c r="M8" s="16"/>
      <c r="N8" s="16"/>
      <c r="O8" s="16"/>
      <c r="P8" s="16"/>
      <c r="Q8" s="16"/>
      <c r="R8" s="16"/>
      <c r="S8" s="16"/>
      <c r="T8" s="17"/>
    </row>
    <row r="9" spans="2:20" x14ac:dyDescent="0.3">
      <c r="B9" s="15"/>
      <c r="C9" s="16"/>
      <c r="D9" s="16"/>
      <c r="E9" s="16"/>
      <c r="F9" s="16"/>
      <c r="G9" s="16"/>
      <c r="H9" s="16"/>
      <c r="I9" s="16"/>
      <c r="J9" s="16"/>
      <c r="K9" s="16"/>
      <c r="L9" s="16"/>
      <c r="M9" s="16"/>
      <c r="N9" s="16"/>
      <c r="O9" s="16"/>
      <c r="P9" s="16"/>
      <c r="Q9" s="16"/>
      <c r="R9" s="16"/>
      <c r="S9" s="16"/>
      <c r="T9" s="17"/>
    </row>
    <row r="10" spans="2:20" x14ac:dyDescent="0.3">
      <c r="B10" s="15"/>
      <c r="C10" s="16"/>
      <c r="D10" s="16"/>
      <c r="E10" s="16"/>
      <c r="F10" s="16"/>
      <c r="G10" s="16"/>
      <c r="H10" s="16"/>
      <c r="I10" s="16"/>
      <c r="J10" s="16"/>
      <c r="K10" s="16"/>
      <c r="L10" s="16"/>
      <c r="M10" s="16"/>
      <c r="N10" s="16"/>
      <c r="O10" s="16"/>
      <c r="P10" s="16"/>
      <c r="Q10" s="16"/>
      <c r="R10" s="16"/>
      <c r="S10" s="16"/>
      <c r="T10" s="17"/>
    </row>
    <row r="11" spans="2:20" x14ac:dyDescent="0.3">
      <c r="B11" s="15"/>
      <c r="C11" s="16"/>
      <c r="D11" s="16"/>
      <c r="E11" s="16"/>
      <c r="F11" s="16"/>
      <c r="G11" s="16"/>
      <c r="H11" s="16"/>
      <c r="I11" s="16"/>
      <c r="J11" s="16"/>
      <c r="K11" s="16"/>
      <c r="L11" s="16"/>
      <c r="M11" s="16"/>
      <c r="N11" s="16"/>
      <c r="O11" s="16"/>
      <c r="P11" s="16"/>
      <c r="Q11" s="16"/>
      <c r="R11" s="16"/>
      <c r="S11" s="16"/>
      <c r="T11" s="17"/>
    </row>
    <row r="12" spans="2:20" x14ac:dyDescent="0.3">
      <c r="B12" s="15"/>
      <c r="C12" s="16"/>
      <c r="D12" s="16"/>
      <c r="E12" s="16"/>
      <c r="F12" s="16"/>
      <c r="G12" s="16"/>
      <c r="H12" s="16"/>
      <c r="I12" s="16"/>
      <c r="J12" s="16"/>
      <c r="K12" s="16"/>
      <c r="L12" s="16"/>
      <c r="M12" s="16"/>
      <c r="N12" s="16"/>
      <c r="O12" s="16"/>
      <c r="P12" s="16"/>
      <c r="Q12" s="16"/>
      <c r="R12" s="16"/>
      <c r="S12" s="16"/>
      <c r="T12" s="17"/>
    </row>
    <row r="13" spans="2:20" x14ac:dyDescent="0.3">
      <c r="B13" s="15"/>
      <c r="C13" s="16"/>
      <c r="D13" s="16"/>
      <c r="E13" s="16"/>
      <c r="F13" s="16"/>
      <c r="G13" s="16"/>
      <c r="H13" s="16"/>
      <c r="I13" s="16"/>
      <c r="J13" s="16"/>
      <c r="K13" s="16"/>
      <c r="L13" s="16"/>
      <c r="M13" s="16"/>
      <c r="N13" s="16"/>
      <c r="O13" s="16"/>
      <c r="P13" s="16"/>
      <c r="Q13" s="16"/>
      <c r="R13" s="16"/>
      <c r="S13" s="16"/>
      <c r="T13" s="17"/>
    </row>
    <row r="14" spans="2:20" x14ac:dyDescent="0.3">
      <c r="B14" s="15"/>
      <c r="C14" s="16"/>
      <c r="D14" s="16"/>
      <c r="E14" s="16"/>
      <c r="F14" s="16"/>
      <c r="G14" s="16"/>
      <c r="H14" s="16"/>
      <c r="I14" s="16"/>
      <c r="J14" s="16"/>
      <c r="K14" s="16"/>
      <c r="L14" s="16"/>
      <c r="M14" s="16"/>
      <c r="N14" s="16"/>
      <c r="O14" s="16"/>
      <c r="P14" s="16"/>
      <c r="Q14" s="16"/>
      <c r="R14" s="16"/>
      <c r="S14" s="16"/>
      <c r="T14" s="17"/>
    </row>
    <row r="15" spans="2:20" x14ac:dyDescent="0.3">
      <c r="B15" s="15"/>
      <c r="C15" s="16"/>
      <c r="D15" s="16"/>
      <c r="E15" s="16"/>
      <c r="F15" s="16"/>
      <c r="G15" s="16"/>
      <c r="H15" s="16"/>
      <c r="I15" s="16"/>
      <c r="J15" s="16"/>
      <c r="K15" s="16"/>
      <c r="L15" s="16"/>
      <c r="M15" s="16"/>
      <c r="N15" s="16"/>
      <c r="O15" s="16"/>
      <c r="P15" s="16"/>
      <c r="Q15" s="16"/>
      <c r="R15" s="16"/>
      <c r="S15" s="16"/>
      <c r="T15" s="17"/>
    </row>
    <row r="16" spans="2:20" x14ac:dyDescent="0.3">
      <c r="B16" s="15"/>
      <c r="C16" s="16"/>
      <c r="D16" s="16"/>
      <c r="E16" s="16"/>
      <c r="F16" s="16"/>
      <c r="G16" s="16"/>
      <c r="H16" s="16"/>
      <c r="I16" s="16"/>
      <c r="J16" s="16"/>
      <c r="K16" s="16"/>
      <c r="L16" s="16"/>
      <c r="M16" s="16"/>
      <c r="N16" s="16"/>
      <c r="O16" s="16"/>
      <c r="P16" s="16"/>
      <c r="Q16" s="16"/>
      <c r="R16" s="16"/>
      <c r="S16" s="16"/>
      <c r="T16" s="17"/>
    </row>
    <row r="17" spans="2:20" x14ac:dyDescent="0.3">
      <c r="B17" s="15"/>
      <c r="C17" s="16"/>
      <c r="D17" s="16"/>
      <c r="E17" s="16"/>
      <c r="F17" s="16"/>
      <c r="G17" s="16"/>
      <c r="H17" s="16"/>
      <c r="I17" s="16"/>
      <c r="J17" s="16"/>
      <c r="K17" s="16"/>
      <c r="L17" s="16"/>
      <c r="M17" s="16"/>
      <c r="N17" s="16"/>
      <c r="O17" s="16"/>
      <c r="P17" s="16"/>
      <c r="Q17" s="16"/>
      <c r="R17" s="16"/>
      <c r="S17" s="16"/>
      <c r="T17" s="17"/>
    </row>
    <row r="18" spans="2:20" x14ac:dyDescent="0.3">
      <c r="B18" s="15"/>
      <c r="C18" s="16"/>
      <c r="D18" s="16"/>
      <c r="E18" s="16"/>
      <c r="F18" s="16"/>
      <c r="G18" s="16"/>
      <c r="H18" s="16"/>
      <c r="I18" s="16"/>
      <c r="J18" s="16"/>
      <c r="K18" s="16"/>
      <c r="L18" s="16"/>
      <c r="M18" s="16"/>
      <c r="N18" s="16"/>
      <c r="O18" s="16"/>
      <c r="P18" s="16"/>
      <c r="Q18" s="16"/>
      <c r="R18" s="16"/>
      <c r="S18" s="16"/>
      <c r="T18" s="17"/>
    </row>
    <row r="19" spans="2:20" x14ac:dyDescent="0.3">
      <c r="B19" s="15"/>
      <c r="C19" s="16"/>
      <c r="D19" s="16"/>
      <c r="E19" s="16"/>
      <c r="F19" s="16"/>
      <c r="G19" s="16"/>
      <c r="H19" s="16"/>
      <c r="I19" s="16"/>
      <c r="J19" s="16"/>
      <c r="K19" s="16"/>
      <c r="L19" s="16"/>
      <c r="M19" s="16"/>
      <c r="N19" s="16"/>
      <c r="O19" s="16"/>
      <c r="P19" s="16"/>
      <c r="Q19" s="16"/>
      <c r="R19" s="16"/>
      <c r="S19" s="16"/>
      <c r="T19" s="17"/>
    </row>
    <row r="20" spans="2:20" x14ac:dyDescent="0.3">
      <c r="B20" s="15"/>
      <c r="C20" s="16"/>
      <c r="D20" s="16"/>
      <c r="E20" s="16"/>
      <c r="F20" s="16"/>
      <c r="G20" s="16"/>
      <c r="H20" s="16"/>
      <c r="I20" s="16"/>
      <c r="J20" s="16"/>
      <c r="K20" s="16"/>
      <c r="L20" s="16"/>
      <c r="M20" s="16"/>
      <c r="N20" s="16"/>
      <c r="O20" s="16"/>
      <c r="P20" s="16"/>
      <c r="Q20" s="16"/>
      <c r="R20" s="16"/>
      <c r="S20" s="16"/>
      <c r="T20" s="17"/>
    </row>
    <row r="21" spans="2:20" x14ac:dyDescent="0.3">
      <c r="B21" s="15"/>
      <c r="C21" s="16"/>
      <c r="D21" s="16"/>
      <c r="E21" s="16"/>
      <c r="F21" s="16"/>
      <c r="G21" s="16"/>
      <c r="H21" s="16"/>
      <c r="I21" s="16"/>
      <c r="J21" s="16"/>
      <c r="K21" s="16"/>
      <c r="L21" s="16"/>
      <c r="M21" s="16"/>
      <c r="N21" s="16"/>
      <c r="O21" s="16"/>
      <c r="P21" s="16"/>
      <c r="Q21" s="16"/>
      <c r="R21" s="16"/>
      <c r="S21" s="16"/>
      <c r="T21" s="17"/>
    </row>
    <row r="22" spans="2:20" x14ac:dyDescent="0.3">
      <c r="B22" s="15"/>
      <c r="C22" s="16"/>
      <c r="D22" s="16"/>
      <c r="E22" s="16"/>
      <c r="F22" s="16"/>
      <c r="G22" s="16"/>
      <c r="H22" s="16"/>
      <c r="I22" s="16"/>
      <c r="J22" s="16"/>
      <c r="K22" s="16"/>
      <c r="L22" s="16"/>
      <c r="M22" s="16"/>
      <c r="N22" s="16"/>
      <c r="O22" s="16"/>
      <c r="P22" s="16"/>
      <c r="Q22" s="16"/>
      <c r="R22" s="16"/>
      <c r="S22" s="16"/>
      <c r="T22" s="17"/>
    </row>
    <row r="23" spans="2:20" x14ac:dyDescent="0.3">
      <c r="B23" s="15"/>
      <c r="C23" s="16"/>
      <c r="D23" s="16"/>
      <c r="E23" s="16"/>
      <c r="F23" s="16"/>
      <c r="G23" s="16"/>
      <c r="H23" s="16"/>
      <c r="I23" s="16"/>
      <c r="J23" s="16"/>
      <c r="K23" s="16"/>
      <c r="L23" s="16"/>
      <c r="M23" s="16"/>
      <c r="N23" s="16"/>
      <c r="O23" s="16"/>
      <c r="P23" s="16"/>
      <c r="Q23" s="16"/>
      <c r="R23" s="16"/>
      <c r="S23" s="16"/>
      <c r="T23" s="17"/>
    </row>
    <row r="24" spans="2:20" x14ac:dyDescent="0.3">
      <c r="B24" s="15"/>
      <c r="C24" s="16"/>
      <c r="D24" s="16"/>
      <c r="E24" s="16"/>
      <c r="F24" s="16"/>
      <c r="G24" s="16"/>
      <c r="H24" s="16"/>
      <c r="I24" s="16"/>
      <c r="J24" s="16"/>
      <c r="K24" s="16"/>
      <c r="L24" s="16"/>
      <c r="M24" s="16"/>
      <c r="N24" s="16"/>
      <c r="O24" s="16"/>
      <c r="P24" s="16"/>
      <c r="Q24" s="16"/>
      <c r="R24" s="16"/>
      <c r="S24" s="16"/>
      <c r="T24" s="17"/>
    </row>
    <row r="25" spans="2:20" x14ac:dyDescent="0.3">
      <c r="B25" s="15"/>
      <c r="C25" s="16"/>
      <c r="D25" s="16"/>
      <c r="E25" s="16"/>
      <c r="F25" s="16"/>
      <c r="G25" s="16"/>
      <c r="H25" s="16"/>
      <c r="I25" s="16"/>
      <c r="J25" s="16"/>
      <c r="K25" s="16"/>
      <c r="L25" s="16"/>
      <c r="M25" s="16"/>
      <c r="N25" s="16"/>
      <c r="O25" s="16"/>
      <c r="P25" s="16"/>
      <c r="Q25" s="16"/>
      <c r="R25" s="16"/>
      <c r="S25" s="16"/>
      <c r="T25" s="17"/>
    </row>
    <row r="26" spans="2:20" x14ac:dyDescent="0.3">
      <c r="B26" s="15"/>
      <c r="C26" s="16"/>
      <c r="D26" s="16"/>
      <c r="E26" s="16"/>
      <c r="F26" s="16"/>
      <c r="G26" s="16"/>
      <c r="H26" s="16"/>
      <c r="I26" s="16"/>
      <c r="J26" s="16"/>
      <c r="K26" s="16"/>
      <c r="L26" s="16"/>
      <c r="M26" s="16"/>
      <c r="N26" s="16"/>
      <c r="O26" s="16"/>
      <c r="P26" s="16"/>
      <c r="Q26" s="16"/>
      <c r="R26" s="16"/>
      <c r="S26" s="16"/>
      <c r="T26" s="17"/>
    </row>
    <row r="27" spans="2:20" x14ac:dyDescent="0.3">
      <c r="B27" s="15"/>
      <c r="C27" s="16"/>
      <c r="D27" s="16"/>
      <c r="E27" s="16"/>
      <c r="F27" s="16"/>
      <c r="G27" s="16"/>
      <c r="H27" s="16"/>
      <c r="I27" s="16"/>
      <c r="J27" s="16"/>
      <c r="K27" s="16"/>
      <c r="L27" s="16"/>
      <c r="M27" s="16"/>
      <c r="N27" s="16"/>
      <c r="O27" s="16"/>
      <c r="P27" s="16"/>
      <c r="Q27" s="16"/>
      <c r="R27" s="16"/>
      <c r="S27" s="16"/>
      <c r="T27" s="17"/>
    </row>
    <row r="28" spans="2:20" x14ac:dyDescent="0.3">
      <c r="B28" s="15"/>
      <c r="C28" s="16"/>
      <c r="D28" s="16"/>
      <c r="E28" s="16"/>
      <c r="F28" s="16"/>
      <c r="G28" s="16"/>
      <c r="H28" s="16"/>
      <c r="I28" s="16"/>
      <c r="J28" s="16"/>
      <c r="K28" s="16"/>
      <c r="L28" s="16"/>
      <c r="M28" s="16"/>
      <c r="N28" s="16"/>
      <c r="O28" s="16"/>
      <c r="P28" s="16"/>
      <c r="Q28" s="16"/>
      <c r="R28" s="16"/>
      <c r="S28" s="16"/>
      <c r="T28" s="17"/>
    </row>
    <row r="29" spans="2:20" x14ac:dyDescent="0.3">
      <c r="B29" s="15"/>
      <c r="C29" s="16"/>
      <c r="D29" s="16"/>
      <c r="E29" s="16"/>
      <c r="F29" s="16"/>
      <c r="G29" s="16"/>
      <c r="H29" s="16"/>
      <c r="I29" s="16"/>
      <c r="J29" s="16"/>
      <c r="K29" s="16"/>
      <c r="L29" s="16"/>
      <c r="M29" s="16"/>
      <c r="N29" s="16"/>
      <c r="O29" s="16"/>
      <c r="P29" s="16"/>
      <c r="Q29" s="16"/>
      <c r="R29" s="16"/>
      <c r="S29" s="16"/>
      <c r="T29" s="17"/>
    </row>
    <row r="30" spans="2:20" x14ac:dyDescent="0.3">
      <c r="B30" s="15"/>
      <c r="C30" s="16"/>
      <c r="D30" s="16"/>
      <c r="E30" s="16"/>
      <c r="F30" s="16"/>
      <c r="G30" s="16"/>
      <c r="H30" s="16"/>
      <c r="I30" s="16"/>
      <c r="J30" s="16"/>
      <c r="K30" s="16"/>
      <c r="L30" s="16"/>
      <c r="M30" s="16"/>
      <c r="N30" s="16"/>
      <c r="O30" s="16"/>
      <c r="P30" s="16"/>
      <c r="Q30" s="16"/>
      <c r="R30" s="16"/>
      <c r="S30" s="16"/>
      <c r="T30" s="17"/>
    </row>
    <row r="31" spans="2:20" x14ac:dyDescent="0.3">
      <c r="B31" s="15"/>
      <c r="C31" s="16"/>
      <c r="D31" s="16"/>
      <c r="E31" s="16"/>
      <c r="F31" s="16"/>
      <c r="G31" s="16"/>
      <c r="H31" s="16"/>
      <c r="I31" s="16"/>
      <c r="J31" s="16"/>
      <c r="K31" s="16"/>
      <c r="L31" s="16"/>
      <c r="M31" s="16"/>
      <c r="N31" s="16"/>
      <c r="O31" s="16"/>
      <c r="P31" s="16"/>
      <c r="Q31" s="16"/>
      <c r="R31" s="16"/>
      <c r="S31" s="16"/>
      <c r="T31" s="17"/>
    </row>
    <row r="32" spans="2:20" x14ac:dyDescent="0.3">
      <c r="B32" s="18"/>
      <c r="C32" s="19"/>
      <c r="D32" s="19"/>
      <c r="E32" s="19"/>
      <c r="F32" s="19"/>
      <c r="G32" s="19"/>
      <c r="H32" s="19"/>
      <c r="I32" s="19"/>
      <c r="J32" s="19"/>
      <c r="K32" s="19"/>
      <c r="L32" s="19"/>
      <c r="M32" s="19"/>
      <c r="N32" s="19"/>
      <c r="O32" s="19"/>
      <c r="P32" s="19"/>
      <c r="Q32" s="19"/>
      <c r="R32" s="19"/>
      <c r="S32" s="19"/>
      <c r="T32"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gopinath balu</cp:lastModifiedBy>
  <dcterms:created xsi:type="dcterms:W3CDTF">2024-06-23T13:11:17Z</dcterms:created>
  <dcterms:modified xsi:type="dcterms:W3CDTF">2026-03-20T04:27:02Z</dcterms:modified>
</cp:coreProperties>
</file>